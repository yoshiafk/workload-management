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shiafk/Development/Personal Project/hr-management/"/>
    </mc:Choice>
  </mc:AlternateContent>
  <xr:revisionPtr revIDLastSave="0" documentId="13_ncr:1_{467051B1-C0F9-154D-977F-2D7A568F1314}" xr6:coauthVersionLast="47" xr6:coauthVersionMax="47" xr10:uidLastSave="{00000000-0000-0000-0000-000000000000}"/>
  <bookViews>
    <workbookView xWindow="0" yWindow="600" windowWidth="33600" windowHeight="19080" tabRatio="629" activeTab="1" xr2:uid="{25F822A7-E83A-480C-8141-23723AE6718A}"/>
  </bookViews>
  <sheets>
    <sheet name="WorkloadSummary" sheetId="4" r:id="rId1"/>
    <sheet name="ResourceAllocation" sheetId="3" r:id="rId2"/>
    <sheet name="ImportantDate" sheetId="7" r:id="rId3"/>
    <sheet name="Library" sheetId="6" r:id="rId4"/>
  </sheets>
  <definedNames>
    <definedName name="_xlnm._FilterDatabase" localSheetId="1" hidden="1">ResourceAllocation!$A$2:$N$24</definedName>
    <definedName name="HighPct">Library!$S:$S</definedName>
    <definedName name="LeaveData">ImportantDate!$F$3:$F$30</definedName>
    <definedName name="LibsPhase">Library!$H:$H</definedName>
    <definedName name="LibsTask">Library!$J:$J</definedName>
    <definedName name="LowPct">Library!$M:$M</definedName>
    <definedName name="MediumPct">Library!$P:$P</definedName>
    <definedName name="Resources">Library!$C$3:$C$9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3" l="1"/>
  <c r="I24" i="3" s="1"/>
  <c r="D24" i="3"/>
  <c r="D13" i="3"/>
  <c r="D14" i="3"/>
  <c r="D15" i="3"/>
  <c r="L24" i="3" a="1"/>
  <c r="L24" i="3" s="1"/>
  <c r="I2" i="7"/>
  <c r="C5" i="4" l="1" a="1"/>
  <c r="C5" i="4" s="1"/>
  <c r="G9" i="3" a="1"/>
  <c r="G9" i="3" s="1"/>
  <c r="I22" i="4"/>
  <c r="K15" i="6" l="1"/>
  <c r="G6" i="3" a="1"/>
  <c r="G6" i="3" s="1"/>
  <c r="G7" i="3" a="1"/>
  <c r="G7" i="3" s="1"/>
  <c r="G8" i="3" a="1"/>
  <c r="G8" i="3" s="1"/>
  <c r="G11" i="3" a="1"/>
  <c r="G11" i="3" s="1"/>
  <c r="G12" i="3" a="1"/>
  <c r="G12" i="3" s="1"/>
  <c r="G13" i="3" a="1"/>
  <c r="G13" i="3" s="1"/>
  <c r="G14" i="3" a="1"/>
  <c r="G14" i="3" s="1"/>
  <c r="G21" i="3" a="1"/>
  <c r="G21" i="3" s="1"/>
  <c r="G22" i="3" a="1"/>
  <c r="G22" i="3" s="1"/>
  <c r="G3" i="3" a="1"/>
  <c r="G3" i="3" s="1"/>
  <c r="F16" i="3" l="1"/>
  <c r="G16" i="3" s="1" a="1"/>
  <c r="G16" i="3" s="1"/>
  <c r="F17" i="3"/>
  <c r="G17" i="3" s="1" a="1"/>
  <c r="G17" i="3" s="1"/>
  <c r="F19" i="3"/>
  <c r="G19" i="3" s="1" a="1"/>
  <c r="G19" i="3" s="1"/>
  <c r="F18" i="3"/>
  <c r="G18" i="3" s="1" a="1"/>
  <c r="G18" i="3" s="1"/>
  <c r="X5" i="6"/>
  <c r="X4" i="6"/>
  <c r="X3" i="6"/>
  <c r="W5" i="6"/>
  <c r="W3" i="6"/>
  <c r="W4" i="6"/>
  <c r="E23" i="6"/>
  <c r="F23" i="6" s="1"/>
  <c r="E24" i="6"/>
  <c r="F24" i="6" s="1"/>
  <c r="H10" i="3" s="1"/>
  <c r="E25" i="6"/>
  <c r="F25" i="6" s="1"/>
  <c r="E26" i="6"/>
  <c r="F26" i="6" s="1"/>
  <c r="H3" i="3" s="1"/>
  <c r="E22" i="6"/>
  <c r="F22" i="6" s="1"/>
  <c r="H26" i="4"/>
  <c r="I26" i="4"/>
  <c r="B10" i="4"/>
  <c r="B11" i="4"/>
  <c r="K11" i="4" s="1" a="1"/>
  <c r="K11" i="4" s="1"/>
  <c r="H25" i="4"/>
  <c r="G25" i="4"/>
  <c r="F25" i="4"/>
  <c r="E25" i="4"/>
  <c r="D25" i="4"/>
  <c r="C25" i="4"/>
  <c r="S13" i="6"/>
  <c r="P13" i="6"/>
  <c r="M13" i="6"/>
  <c r="L10" i="3" s="1" a="1"/>
  <c r="L10" i="3" s="1"/>
  <c r="L21" i="3" a="1"/>
  <c r="L21" i="3" s="1"/>
  <c r="J10" i="3"/>
  <c r="J11" i="3"/>
  <c r="J12" i="3"/>
  <c r="J13" i="3"/>
  <c r="J14" i="3"/>
  <c r="J15" i="3"/>
  <c r="J21" i="3"/>
  <c r="J20" i="3"/>
  <c r="J22" i="3"/>
  <c r="J23" i="3"/>
  <c r="D22" i="3"/>
  <c r="G22" i="4"/>
  <c r="G21" i="4"/>
  <c r="G24" i="4"/>
  <c r="G23" i="4"/>
  <c r="G20" i="4"/>
  <c r="G19" i="4"/>
  <c r="G18" i="4"/>
  <c r="G17" i="4"/>
  <c r="G16" i="4"/>
  <c r="G15" i="4"/>
  <c r="G14" i="4"/>
  <c r="C23" i="4"/>
  <c r="C22" i="4"/>
  <c r="F21" i="4"/>
  <c r="E21" i="4"/>
  <c r="D21" i="4"/>
  <c r="C21" i="4"/>
  <c r="D11" i="3"/>
  <c r="D12" i="3"/>
  <c r="D17" i="3"/>
  <c r="D19" i="3"/>
  <c r="D21" i="3"/>
  <c r="D20" i="3"/>
  <c r="F24" i="4"/>
  <c r="F23" i="4"/>
  <c r="F22" i="4"/>
  <c r="F20" i="4"/>
  <c r="F19" i="4"/>
  <c r="F18" i="4"/>
  <c r="F17" i="4"/>
  <c r="F16" i="4"/>
  <c r="F15" i="4"/>
  <c r="F14" i="4"/>
  <c r="E23" i="4"/>
  <c r="E22" i="4"/>
  <c r="E20" i="4"/>
  <c r="E19" i="4"/>
  <c r="E18" i="4"/>
  <c r="E17" i="4"/>
  <c r="E16" i="4"/>
  <c r="E15" i="4"/>
  <c r="E14" i="4"/>
  <c r="E24" i="4"/>
  <c r="H22" i="4"/>
  <c r="H20" i="4"/>
  <c r="H19" i="4"/>
  <c r="H18" i="4"/>
  <c r="I18" i="4"/>
  <c r="H17" i="4"/>
  <c r="I17" i="4"/>
  <c r="H16" i="4"/>
  <c r="I16" i="4"/>
  <c r="H14" i="4"/>
  <c r="D22" i="4"/>
  <c r="D24" i="4"/>
  <c r="D23" i="4"/>
  <c r="D20" i="4"/>
  <c r="D19" i="4"/>
  <c r="D18" i="4"/>
  <c r="D17" i="4"/>
  <c r="D16" i="4"/>
  <c r="D15" i="4"/>
  <c r="D14" i="4"/>
  <c r="C14" i="4"/>
  <c r="C24" i="4"/>
  <c r="C20" i="4"/>
  <c r="C19" i="4"/>
  <c r="C18" i="4"/>
  <c r="C17" i="4"/>
  <c r="C16" i="4"/>
  <c r="C15" i="4"/>
  <c r="H24" i="4" l="1"/>
  <c r="H17" i="3"/>
  <c r="H18" i="3"/>
  <c r="H16" i="3"/>
  <c r="H8" i="3"/>
  <c r="H9" i="3"/>
  <c r="H6" i="3"/>
  <c r="H7" i="3"/>
  <c r="H22" i="3"/>
  <c r="H23" i="3"/>
  <c r="H15" i="3"/>
  <c r="H14" i="3"/>
  <c r="H21" i="3"/>
  <c r="I21" i="3" s="1"/>
  <c r="H13" i="3"/>
  <c r="H20" i="3"/>
  <c r="H12" i="3"/>
  <c r="H19" i="3"/>
  <c r="H11" i="3"/>
  <c r="G23" i="3" a="1"/>
  <c r="G23" i="3" s="1"/>
  <c r="G15" i="3" a="1"/>
  <c r="G15" i="3" s="1"/>
  <c r="G10" i="3" a="1"/>
  <c r="G10" i="3" s="1"/>
  <c r="G20" i="3" a="1"/>
  <c r="G20" i="3" s="1"/>
  <c r="J19" i="3"/>
  <c r="J17" i="3"/>
  <c r="I23" i="4" s="1"/>
  <c r="J16" i="3"/>
  <c r="H21" i="4"/>
  <c r="H15" i="4"/>
  <c r="H23" i="4"/>
  <c r="J18" i="3"/>
  <c r="I25" i="4"/>
  <c r="L23" i="3" a="1"/>
  <c r="L23" i="3" s="1"/>
  <c r="I19" i="4"/>
  <c r="Q15" i="6"/>
  <c r="R15" i="6"/>
  <c r="N15" i="6"/>
  <c r="O15" i="6"/>
  <c r="L15" i="6"/>
  <c r="M9" i="6"/>
  <c r="P9" i="6"/>
  <c r="S9" i="6"/>
  <c r="I20" i="3" l="1"/>
  <c r="I21" i="4"/>
  <c r="Q16" i="6"/>
  <c r="N16" i="6"/>
  <c r="K16" i="6"/>
  <c r="I12" i="3" l="1"/>
  <c r="I18" i="3"/>
  <c r="I14" i="3"/>
  <c r="I10" i="3"/>
  <c r="I19" i="3"/>
  <c r="I13" i="3"/>
  <c r="I9" i="3"/>
  <c r="I11" i="3"/>
  <c r="I16" i="3"/>
  <c r="I15" i="3"/>
  <c r="I22" i="3"/>
  <c r="I8" i="3"/>
  <c r="I23" i="3"/>
  <c r="I17" i="3"/>
  <c r="D7" i="3"/>
  <c r="J7" i="3"/>
  <c r="J8" i="3"/>
  <c r="J9" i="3"/>
  <c r="I15" i="4"/>
  <c r="J6" i="3"/>
  <c r="J5" i="4" l="1" a="1"/>
  <c r="J5" i="4" s="1"/>
  <c r="L8" i="4" a="1"/>
  <c r="L8" i="4" s="1"/>
  <c r="I20" i="4"/>
  <c r="B6" i="4"/>
  <c r="K6" i="4" s="1" a="1"/>
  <c r="K6" i="4" s="1"/>
  <c r="B7" i="4"/>
  <c r="K7" i="4" s="1" a="1"/>
  <c r="K7" i="4" s="1"/>
  <c r="B8" i="4"/>
  <c r="K8" i="4" s="1" a="1"/>
  <c r="K8" i="4" s="1"/>
  <c r="B9" i="4"/>
  <c r="K9" i="4" s="1" a="1"/>
  <c r="K9" i="4" s="1"/>
  <c r="B5" i="4"/>
  <c r="K5" i="4" l="1" a="1"/>
  <c r="K5" i="4" s="1"/>
  <c r="I5" i="4" a="1"/>
  <c r="I5" i="4" s="1"/>
  <c r="L5" i="4" a="1"/>
  <c r="L5" i="4" s="1"/>
  <c r="I8" i="4" a="1"/>
  <c r="I8" i="4" s="1"/>
  <c r="G8" i="4" a="1"/>
  <c r="G8" i="4" s="1"/>
  <c r="E8" i="4" a="1"/>
  <c r="E8" i="4" s="1"/>
  <c r="C11" i="4" a="1"/>
  <c r="C11" i="4" s="1"/>
  <c r="E11" i="4" a="1"/>
  <c r="E11" i="4" s="1"/>
  <c r="G11" i="4" a="1"/>
  <c r="G11" i="4" s="1"/>
  <c r="I11" i="4" a="1"/>
  <c r="I11" i="4" s="1"/>
  <c r="C10" i="4" a="1"/>
  <c r="C10" i="4" s="1"/>
  <c r="D10" i="4" a="1"/>
  <c r="D10" i="4" s="1"/>
  <c r="E10" i="4" a="1"/>
  <c r="E10" i="4" s="1"/>
  <c r="F10" i="4" a="1"/>
  <c r="F10" i="4" s="1"/>
  <c r="G10" i="4" a="1"/>
  <c r="G10" i="4" s="1"/>
  <c r="H10" i="4" a="1"/>
  <c r="H10" i="4" s="1"/>
  <c r="I10" i="4" a="1"/>
  <c r="I10" i="4" s="1"/>
  <c r="J10" i="4" a="1"/>
  <c r="J10" i="4" s="1"/>
  <c r="C9" i="4" a="1"/>
  <c r="C9" i="4" s="1"/>
  <c r="E9" i="4" a="1"/>
  <c r="E9" i="4" s="1"/>
  <c r="G9" i="4" a="1"/>
  <c r="G9" i="4" s="1"/>
  <c r="I9" i="4" a="1"/>
  <c r="I9" i="4" s="1"/>
  <c r="C8" i="4" a="1"/>
  <c r="C8" i="4" s="1"/>
  <c r="C7" i="4" a="1"/>
  <c r="C7" i="4" s="1"/>
  <c r="E7" i="4" a="1"/>
  <c r="E7" i="4" s="1"/>
  <c r="G7" i="4" a="1"/>
  <c r="G7" i="4" s="1"/>
  <c r="I7" i="4" a="1"/>
  <c r="I7" i="4" s="1"/>
  <c r="C6" i="4" a="1"/>
  <c r="C6" i="4" s="1"/>
  <c r="G6" i="4" a="1"/>
  <c r="G6" i="4" s="1"/>
  <c r="I6" i="4" a="1"/>
  <c r="I6" i="4" s="1"/>
  <c r="E5" i="4" a="1"/>
  <c r="E5" i="4" s="1"/>
  <c r="G5" i="4" a="1"/>
  <c r="G5" i="4" s="1"/>
  <c r="I7" i="3" l="1"/>
  <c r="I3" i="3"/>
  <c r="C27" i="4" s="1"/>
  <c r="I6" i="3"/>
  <c r="J3" i="3"/>
  <c r="M14" i="6"/>
  <c r="I24" i="4" l="1"/>
  <c r="I14" i="4"/>
  <c r="D8" i="4" a="1"/>
  <c r="D8" i="4" s="1"/>
  <c r="F8" i="4" a="1"/>
  <c r="F8" i="4" s="1"/>
  <c r="H8" i="4" a="1"/>
  <c r="H8" i="4" s="1"/>
  <c r="J8" i="4" a="1"/>
  <c r="J8" i="4" s="1"/>
  <c r="H6" i="4" a="1"/>
  <c r="H6" i="4" s="1"/>
  <c r="J6" i="4" a="1"/>
  <c r="J6" i="4" s="1"/>
  <c r="D6" i="4" a="1"/>
  <c r="D6" i="4" s="1"/>
  <c r="F6" i="4" a="1"/>
  <c r="F6" i="4" s="1"/>
  <c r="D9" i="4" a="1"/>
  <c r="D9" i="4" s="1"/>
  <c r="F9" i="4" a="1"/>
  <c r="F9" i="4" s="1"/>
  <c r="J9" i="4" a="1"/>
  <c r="J9" i="4" s="1"/>
  <c r="H9" i="4" a="1"/>
  <c r="H9" i="4" s="1"/>
  <c r="D11" i="4" a="1"/>
  <c r="D11" i="4" s="1"/>
  <c r="F11" i="4" a="1"/>
  <c r="F11" i="4" s="1"/>
  <c r="H11" i="4" a="1"/>
  <c r="H11" i="4" s="1"/>
  <c r="J11" i="4" a="1"/>
  <c r="J11" i="4" s="1"/>
  <c r="D7" i="4" a="1"/>
  <c r="D7" i="4" s="1"/>
  <c r="F7" i="4" a="1"/>
  <c r="F7" i="4" s="1"/>
  <c r="H7" i="4" a="1"/>
  <c r="H7" i="4" s="1"/>
  <c r="J7" i="4" a="1"/>
  <c r="J7" i="4" s="1"/>
  <c r="F5" i="4" a="1"/>
  <c r="F5" i="4" s="1"/>
  <c r="D5" i="4" a="1"/>
  <c r="D5" i="4" s="1"/>
  <c r="H5" i="4" a="1"/>
  <c r="H5" i="4" s="1"/>
  <c r="L6" i="3" l="1" a="1"/>
  <c r="L6" i="3" s="1"/>
  <c r="L9" i="3" a="1"/>
  <c r="L9" i="3" s="1"/>
  <c r="L11" i="3" a="1"/>
  <c r="L11" i="3" s="1"/>
  <c r="L13" i="3" a="1"/>
  <c r="L13" i="3" s="1"/>
  <c r="L14" i="3" a="1"/>
  <c r="L14" i="3" s="1"/>
  <c r="D6" i="3"/>
  <c r="D8" i="3"/>
  <c r="D9" i="3"/>
  <c r="D10" i="3"/>
  <c r="D3" i="3"/>
  <c r="L3" i="3" a="1"/>
  <c r="L3" i="3" s="1"/>
  <c r="S12" i="6"/>
  <c r="S11" i="6"/>
  <c r="S10" i="6"/>
  <c r="L16" i="3" s="1" a="1"/>
  <c r="L16" i="3" s="1"/>
  <c r="S8" i="6"/>
  <c r="S7" i="6"/>
  <c r="S6" i="6"/>
  <c r="S5" i="6"/>
  <c r="S4" i="6"/>
  <c r="S3" i="6"/>
  <c r="P12" i="6"/>
  <c r="L17" i="3" s="1" a="1"/>
  <c r="L17" i="3" s="1"/>
  <c r="P11" i="6"/>
  <c r="L7" i="3" s="1" a="1"/>
  <c r="L7" i="3" s="1"/>
  <c r="P10" i="6"/>
  <c r="P8" i="6"/>
  <c r="L12" i="3" s="1" a="1"/>
  <c r="L12" i="3" s="1"/>
  <c r="P7" i="6"/>
  <c r="P6" i="6"/>
  <c r="P5" i="6"/>
  <c r="P4" i="6"/>
  <c r="P3" i="6"/>
  <c r="M4" i="6"/>
  <c r="L20" i="3" s="1" a="1"/>
  <c r="L20" i="3" s="1"/>
  <c r="M5" i="6"/>
  <c r="M6" i="6"/>
  <c r="M7" i="6"/>
  <c r="M8" i="6"/>
  <c r="L15" i="3" s="1" a="1"/>
  <c r="L15" i="3" s="1"/>
  <c r="M10" i="6"/>
  <c r="L18" i="3" s="1" a="1"/>
  <c r="L18" i="3" s="1"/>
  <c r="M11" i="6"/>
  <c r="M12" i="6"/>
  <c r="M3" i="6"/>
  <c r="F26" i="4" l="1"/>
  <c r="L22" i="3" a="1"/>
  <c r="L22" i="3" s="1"/>
  <c r="G26" i="4" s="1"/>
  <c r="L19" i="3" a="1"/>
  <c r="L19" i="3" s="1"/>
  <c r="C26" i="4" s="1"/>
  <c r="E26" i="4"/>
  <c r="L8" i="3" a="1"/>
  <c r="L8" i="3" s="1"/>
  <c r="D26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<sst xmlns="http://schemas.openxmlformats.org/spreadsheetml/2006/main" count="255" uniqueCount="134">
  <si>
    <t>Name</t>
  </si>
  <si>
    <t>First Task</t>
  </si>
  <si>
    <t>Second Task</t>
  </si>
  <si>
    <t>Third Task</t>
  </si>
  <si>
    <t>Forth Task</t>
  </si>
  <si>
    <t>Fifth Task</t>
  </si>
  <si>
    <t>Task Name</t>
  </si>
  <si>
    <t>Finish Date</t>
  </si>
  <si>
    <t xml:space="preserve"> </t>
  </si>
  <si>
    <t>Beatrix</t>
  </si>
  <si>
    <t>Herindra</t>
  </si>
  <si>
    <t>Rifqi</t>
  </si>
  <si>
    <t>Azdan</t>
  </si>
  <si>
    <t>Laili</t>
  </si>
  <si>
    <t>Cici</t>
  </si>
  <si>
    <t>Yosy</t>
  </si>
  <si>
    <t>Stakeholder Interviews</t>
  </si>
  <si>
    <t>Requirements Documentation</t>
  </si>
  <si>
    <t>UI/UX Design</t>
  </si>
  <si>
    <t>System Architecture Planning</t>
  </si>
  <si>
    <t>Test Case Creation</t>
  </si>
  <si>
    <t>Frontend &amp; Backend Development</t>
  </si>
  <si>
    <t>Integration Testing</t>
  </si>
  <si>
    <t>User Acceptance Test</t>
  </si>
  <si>
    <t>Deployment to Production</t>
  </si>
  <si>
    <t>Post-Deployment Support</t>
  </si>
  <si>
    <t>Completed</t>
  </si>
  <si>
    <t>Idle</t>
  </si>
  <si>
    <t>Workload %</t>
  </si>
  <si>
    <t>Utilization Cost Plan</t>
  </si>
  <si>
    <t>Utilization Cost Actual</t>
  </si>
  <si>
    <t>ActivityName</t>
  </si>
  <si>
    <t>Resource</t>
  </si>
  <si>
    <t>Category</t>
  </si>
  <si>
    <t>Phase</t>
  </si>
  <si>
    <t>TaskName</t>
  </si>
  <si>
    <t>Plan</t>
  </si>
  <si>
    <t>Actual</t>
  </si>
  <si>
    <t>Workload</t>
  </si>
  <si>
    <t>Remarks</t>
  </si>
  <si>
    <t>TaskStart</t>
  </si>
  <si>
    <t>TaskEnd</t>
  </si>
  <si>
    <t>Cost Project</t>
  </si>
  <si>
    <t>Cost monthly</t>
  </si>
  <si>
    <t>Care BA</t>
  </si>
  <si>
    <t>High</t>
  </si>
  <si>
    <t>Medium</t>
  </si>
  <si>
    <t>Penyesuaian Parameter Smartdrive TOC : 0224, 0209, 0226, 0227</t>
  </si>
  <si>
    <t>Data Anonymization CGISS &amp; CHISS</t>
  </si>
  <si>
    <t>BCAF Automation</t>
  </si>
  <si>
    <t>Enhancement Uploader Mypage data qyc
(UP15, UP75, UP286, UP289, UP279)</t>
  </si>
  <si>
    <t>Auto settlement</t>
  </si>
  <si>
    <t>Low</t>
  </si>
  <si>
    <t>Revamp &amp; New Scheme in Retail Biz</t>
  </si>
  <si>
    <t>Bilingual Document</t>
  </si>
  <si>
    <t>SNAP BI H2H</t>
  </si>
  <si>
    <t>SNAP BI VA</t>
  </si>
  <si>
    <t>Merimen – Output Certificate Bilingual Version</t>
  </si>
  <si>
    <t>CHISS 2nd phase</t>
  </si>
  <si>
    <t>Fasttrack</t>
  </si>
  <si>
    <t>Date of Payment</t>
  </si>
  <si>
    <t>Promedicare</t>
  </si>
  <si>
    <t>Update Engine CHISS</t>
  </si>
  <si>
    <t>Smartmedicare</t>
  </si>
  <si>
    <t>RRTS</t>
  </si>
  <si>
    <t>Update Engine</t>
  </si>
  <si>
    <t>User Acceptation Test</t>
  </si>
  <si>
    <t>New CLP (Ciputra)</t>
  </si>
  <si>
    <t>Indonesia Public Holiday</t>
  </si>
  <si>
    <t>Leave Plan</t>
  </si>
  <si>
    <t>Dates</t>
  </si>
  <si>
    <t>New Year's Day</t>
  </si>
  <si>
    <t>Isra Mi'raj</t>
  </si>
  <si>
    <t>ResourceName1</t>
  </si>
  <si>
    <t>Chinese New Year</t>
  </si>
  <si>
    <t>Bali Hindu New Year (Silence Day)</t>
  </si>
  <si>
    <t>Eid al-Fitr</t>
  </si>
  <si>
    <t>Mass Leave Eid al-Fitr</t>
  </si>
  <si>
    <t>Good Friday</t>
  </si>
  <si>
    <t>Easter Sunday</t>
  </si>
  <si>
    <t>Labour Day</t>
  </si>
  <si>
    <t>Waisak Day</t>
  </si>
  <si>
    <t>Ascension Day of Jesus Christ</t>
  </si>
  <si>
    <t>Pancasila Day</t>
  </si>
  <si>
    <t>Eid al-Adha</t>
  </si>
  <si>
    <t>Islamic New Year</t>
  </si>
  <si>
    <t>Independence Day</t>
  </si>
  <si>
    <t>Prophet Muhammad's Birthday</t>
  </si>
  <si>
    <t>Christmas Day</t>
  </si>
  <si>
    <t>ResourceID</t>
  </si>
  <si>
    <t>ResourceName</t>
  </si>
  <si>
    <t>Type</t>
  </si>
  <si>
    <t>Max Hours / Week</t>
  </si>
  <si>
    <t>No</t>
  </si>
  <si>
    <t>Task ID</t>
  </si>
  <si>
    <t>Duration (Days)</t>
  </si>
  <si>
    <t>Duration (Hours)</t>
  </si>
  <si>
    <t>Percentage</t>
  </si>
  <si>
    <t>Days</t>
  </si>
  <si>
    <t>BA</t>
  </si>
  <si>
    <t>PM</t>
  </si>
  <si>
    <t>Dev</t>
  </si>
  <si>
    <t>R1</t>
  </si>
  <si>
    <t>Requirement Gathering &amp; Analysis</t>
  </si>
  <si>
    <t>T001</t>
  </si>
  <si>
    <t>R2</t>
  </si>
  <si>
    <t>T002</t>
  </si>
  <si>
    <t>medium</t>
  </si>
  <si>
    <t>R3</t>
  </si>
  <si>
    <t>Design</t>
  </si>
  <si>
    <t>T003</t>
  </si>
  <si>
    <t>R4</t>
  </si>
  <si>
    <t>T004</t>
  </si>
  <si>
    <t>System Functional Design</t>
  </si>
  <si>
    <t>R5</t>
  </si>
  <si>
    <t>Implementation</t>
  </si>
  <si>
    <t>T005</t>
  </si>
  <si>
    <t>R6</t>
  </si>
  <si>
    <t>T006</t>
  </si>
  <si>
    <t>R7</t>
  </si>
  <si>
    <t>Testing</t>
  </si>
  <si>
    <t>T007</t>
  </si>
  <si>
    <t>T008</t>
  </si>
  <si>
    <t>Deployment</t>
  </si>
  <si>
    <t>T009</t>
  </si>
  <si>
    <t>Maintenance</t>
  </si>
  <si>
    <t>Estimation Effort</t>
  </si>
  <si>
    <t>1 cycle of activity</t>
  </si>
  <si>
    <t>Resource Cost</t>
  </si>
  <si>
    <t>Cost</t>
  </si>
  <si>
    <t>Per day cost</t>
  </si>
  <si>
    <t>Per hour cost</t>
  </si>
  <si>
    <t>CARE BA</t>
  </si>
  <si>
    <t>Project Alpha -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</si>
</sst>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1">
    <xf numFmtId="0" fontId="0" fillId="0" borderId="0" xfId="0"/>
    <xf numFmtId="15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0" xfId="0" applyAlignment="1">
      <alignment vertical="center"/>
    </xf>
    <xf numFmtId="9" fontId="0" fillId="0" borderId="0" xfId="1" applyFont="1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15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22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15" fontId="0" fillId="0" borderId="14" xfId="0" applyNumberFormat="1" applyBorder="1" applyAlignment="1">
      <alignment vertical="center" wrapText="1"/>
    </xf>
    <xf numFmtId="15" fontId="0" fillId="0" borderId="16" xfId="0" applyNumberFormat="1" applyBorder="1" applyAlignment="1">
      <alignment vertical="center" wrapText="1"/>
    </xf>
    <xf numFmtId="15" fontId="0" fillId="0" borderId="12" xfId="0" applyNumberFormat="1" applyBorder="1" applyAlignment="1">
      <alignment vertical="center" wrapText="1"/>
    </xf>
    <xf numFmtId="0" fontId="0" fillId="0" borderId="26" xfId="0" applyBorder="1" applyAlignment="1">
      <alignment vertical="center"/>
    </xf>
    <xf numFmtId="15" fontId="0" fillId="0" borderId="27" xfId="0" applyNumberFormat="1" applyBorder="1" applyAlignment="1">
      <alignment vertical="center" wrapText="1"/>
    </xf>
    <xf numFmtId="15" fontId="0" fillId="0" borderId="28" xfId="0" applyNumberFormat="1" applyBorder="1" applyAlignment="1">
      <alignment vertical="center" wrapText="1"/>
    </xf>
    <xf numFmtId="15" fontId="0" fillId="0" borderId="26" xfId="0" applyNumberFormat="1" applyBorder="1" applyAlignment="1">
      <alignment vertical="center" wrapText="1"/>
    </xf>
    <xf numFmtId="0" fontId="0" fillId="0" borderId="0" xfId="0" applyAlignment="1">
      <alignment horizontal="center"/>
    </xf>
    <xf numFmtId="9" fontId="0" fillId="0" borderId="5" xfId="1" applyFont="1" applyBorder="1" applyAlignment="1">
      <alignment vertical="center"/>
    </xf>
    <xf numFmtId="0" fontId="0" fillId="0" borderId="7" xfId="0" applyBorder="1" applyAlignment="1">
      <alignment vertical="center"/>
    </xf>
    <xf numFmtId="9" fontId="0" fillId="0" borderId="8" xfId="1" applyFont="1" applyBorder="1" applyAlignment="1">
      <alignment vertical="center"/>
    </xf>
    <xf numFmtId="9" fontId="0" fillId="0" borderId="0" xfId="0" applyNumberFormat="1"/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43" fontId="0" fillId="0" borderId="0" xfId="2" applyFont="1"/>
    <xf numFmtId="0" fontId="0" fillId="0" borderId="19" xfId="0" applyBorder="1" applyAlignment="1">
      <alignment vertical="center"/>
    </xf>
    <xf numFmtId="0" fontId="0" fillId="0" borderId="15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14" fontId="0" fillId="0" borderId="16" xfId="0" applyNumberFormat="1" applyBorder="1" applyAlignment="1">
      <alignment vertical="center" wrapText="1"/>
    </xf>
    <xf numFmtId="0" fontId="0" fillId="0" borderId="20" xfId="0" applyBorder="1" applyAlignment="1">
      <alignment vertical="center"/>
    </xf>
    <xf numFmtId="0" fontId="0" fillId="0" borderId="24" xfId="0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2" borderId="15" xfId="0" applyFill="1" applyBorder="1" applyAlignment="1">
      <alignment vertical="center" wrapText="1"/>
    </xf>
    <xf numFmtId="0" fontId="0" fillId="2" borderId="24" xfId="0" applyFill="1" applyBorder="1" applyAlignment="1">
      <alignment vertical="center" wrapText="1"/>
    </xf>
    <xf numFmtId="0" fontId="0" fillId="0" borderId="18" xfId="0" applyBorder="1" applyAlignment="1">
      <alignment vertical="center"/>
    </xf>
    <xf numFmtId="0" fontId="0" fillId="0" borderId="11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9" fontId="0" fillId="0" borderId="0" xfId="1" applyFont="1" applyBorder="1" applyAlignment="1">
      <alignment vertical="center"/>
    </xf>
    <xf numFmtId="15" fontId="0" fillId="0" borderId="0" xfId="0" applyNumberFormat="1" applyAlignment="1">
      <alignment vertical="center"/>
    </xf>
    <xf numFmtId="9" fontId="0" fillId="0" borderId="0" xfId="1" applyFont="1" applyAlignment="1">
      <alignment vertical="center"/>
    </xf>
    <xf numFmtId="9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43" fontId="0" fillId="0" borderId="0" xfId="0" applyNumberFormat="1"/>
    <xf numFmtId="43" fontId="0" fillId="0" borderId="0" xfId="2" applyFont="1" applyAlignment="1">
      <alignment vertical="center"/>
    </xf>
    <xf numFmtId="0" fontId="0" fillId="0" borderId="29" xfId="0" applyBorder="1" applyAlignment="1">
      <alignment vertical="center"/>
    </xf>
    <xf numFmtId="15" fontId="0" fillId="0" borderId="29" xfId="0" applyNumberFormat="1" applyBorder="1" applyAlignment="1">
      <alignment vertical="center"/>
    </xf>
    <xf numFmtId="43" fontId="0" fillId="0" borderId="29" xfId="2" applyFont="1" applyBorder="1" applyAlignment="1">
      <alignment vertical="center"/>
    </xf>
    <xf numFmtId="9" fontId="0" fillId="0" borderId="29" xfId="1" applyFont="1" applyBorder="1" applyAlignment="1">
      <alignment vertical="center"/>
    </xf>
    <xf numFmtId="9" fontId="0" fillId="0" borderId="29" xfId="0" applyNumberFormat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29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E7CF4-A048-48C7-9998-362E3B2ADB37}">
  <dimension ref="B2:L28"/>
  <sheetViews>
    <sheetView topLeftCell="A2" zoomScale="105" workbookViewId="0">
      <selection activeCell="E6" sqref="E6"/>
    </sheetView>
  </sheetViews>
  <sheetFormatPr baseColWidth="10" defaultColWidth="11.33203125" defaultRowHeight="15" x14ac:dyDescent="0.2"/>
  <cols>
    <col min="1" max="1" width="8.6640625" customWidth="1"/>
    <col min="2" max="2" width="25.5" customWidth="1"/>
    <col min="3" max="3" width="16" bestFit="1" customWidth="1"/>
    <col min="4" max="5" width="16.33203125" bestFit="1" customWidth="1"/>
    <col min="7" max="7" width="16.33203125" bestFit="1" customWidth="1"/>
    <col min="8" max="8" width="18.33203125" customWidth="1"/>
    <col min="9" max="10" width="14.5" customWidth="1"/>
    <col min="11" max="11" width="18.33203125" bestFit="1" customWidth="1"/>
  </cols>
  <sheetData>
    <row r="2" spans="2:12" ht="16" thickBot="1" x14ac:dyDescent="0.25"/>
    <row r="3" spans="2:12" s="5" customFormat="1" x14ac:dyDescent="0.2">
      <c r="B3" s="63" t="s">
        <v>0</v>
      </c>
      <c r="C3" s="59" t="s">
        <v>1</v>
      </c>
      <c r="D3" s="60"/>
      <c r="E3" s="61" t="s">
        <v>2</v>
      </c>
      <c r="F3" s="62"/>
      <c r="G3" s="59" t="s">
        <v>3</v>
      </c>
      <c r="H3" s="60"/>
      <c r="I3" s="61" t="s">
        <v>4</v>
      </c>
      <c r="J3" s="62"/>
      <c r="K3" s="59" t="s">
        <v>5</v>
      </c>
      <c r="L3" s="60"/>
    </row>
    <row r="4" spans="2:12" s="12" customFormat="1" ht="16" thickBot="1" x14ac:dyDescent="0.25">
      <c r="B4" s="64"/>
      <c r="C4" s="15" t="s">
        <v>6</v>
      </c>
      <c r="D4" s="13" t="s">
        <v>7</v>
      </c>
      <c r="E4" s="14" t="s">
        <v>6</v>
      </c>
      <c r="F4" s="19" t="s">
        <v>7</v>
      </c>
      <c r="G4" s="15" t="s">
        <v>6</v>
      </c>
      <c r="H4" s="13" t="s">
        <v>7</v>
      </c>
      <c r="I4" s="14" t="s">
        <v>6</v>
      </c>
      <c r="J4" s="19" t="s">
        <v>7</v>
      </c>
      <c r="K4" s="28" t="s">
        <v>6</v>
      </c>
      <c r="L4" s="29" t="s">
        <v>7</v>
      </c>
    </row>
    <row r="5" spans="2:12" ht="16" x14ac:dyDescent="0.2">
      <c r="B5" s="31" t="str">
        <f>Library!C3</f>
        <v>Beatrix</v>
      </c>
      <c r="C5" s="32" t="str" cm="1">
        <f t="array" ref="C5">IFERROR(INDEX(_xlfn._xlws.FILTER(ResourceAllocation!A:A,(ResourceAllocation!B:B=WorkloadSummary!B5)*(ResourceAllocation!E:E&lt;&gt;"Completed")),1),"")</f>
        <v>Project Alpha - Analysis</v>
      </c>
      <c r="D5" s="16" cm="1">
        <f t="array" ref="D5">IFERROR(INDEX(_xlfn._xlws.FILTER(ResourceAllocation!G:G,(ResourceAllocation!B:B=WorkloadSummary!B5)*(ResourceAllocation!E:E&lt;&gt;"Completed")),1),"")</f>
        <v>46129</v>
      </c>
      <c r="E5" s="33" t="str" cm="1">
        <f t="array" ref="E5">IFERROR(INDEX(_xlfn._xlws.FILTER(ResourceAllocation!A:A,(ResourceAllocation!B:B=WorkloadSummary!B5)*(ResourceAllocation!E:E&lt;&gt;"Completed")),2),"")</f>
        <v/>
      </c>
      <c r="F5" s="20" t="str" cm="1">
        <f t="array" ref="F5">IFERROR(INDEX(_xlfn._xlws.FILTER(ResourceAllocation!G:G,(ResourceAllocation!B:B=WorkloadSummary!B5)*(ResourceAllocation!E:E&lt;&gt;"Completed")),2),"")</f>
        <v/>
      </c>
      <c r="G5" s="34" t="str" cm="1">
        <f t="array" ref="G5">IFERROR(INDEX(_xlfn._xlws.FILTER(ResourceAllocation!A:A,(ResourceAllocation!B:B=WorkloadSummary!B5)*(ResourceAllocation!E:E&lt;&gt;"Completed")),3),"")</f>
        <v/>
      </c>
      <c r="H5" s="16" t="str" cm="1">
        <f t="array" ref="H5">IFERROR(INDEX(_xlfn._xlws.FILTER(ResourceAllocation!G:G,(ResourceAllocation!B:B=WorkloadSummary!B5)*(ResourceAllocation!E:E&lt;&gt;"Completed")),3),"")</f>
        <v/>
      </c>
      <c r="I5" s="33" t="str" cm="1">
        <f t="array" ref="I5">IFERROR(INDEX(_xlfn._xlws.FILTER(ResourceAllocation!A:A,(ResourceAllocation!B:B=WorkloadSummary!B5)*(ResourceAllocation!E:E&lt;&gt;"Completed")),4),"")</f>
        <v/>
      </c>
      <c r="J5" s="16" t="str" cm="1">
        <f t="array" ref="J5">IFERROR(INDEX(_xlfn._xlws.FILTER(ResourceAllocation!G:G,(ResourceAllocation!B:B=WorkloadSummary!B5)*(ResourceAllocation!E:E&lt;&gt;"Completed")),4),"")</f>
        <v/>
      </c>
      <c r="K5" s="32" t="str" cm="1">
        <f t="array" ref="K5">IFERROR(INDEX(_xlfn._xlws.FILTER(ResourceAllocation!A:A,(ResourceAllocation!B:B=WorkloadSummary!B5)*(ResourceAllocation!E:E&lt;&gt;"Completed")),5),"")</f>
        <v/>
      </c>
      <c r="L5" s="35" t="str" cm="1">
        <f t="array" ref="L5">IFERROR(INDEX(_xlfn._xlws.FILTER(ResourceAllocation!G:G,(ResourceAllocation!B:B=WorkloadSummary!B5)*(ResourceAllocation!E:E&lt;&gt;"Completed")),5),"")</f>
        <v/>
      </c>
    </row>
    <row r="6" spans="2:12" ht="16" x14ac:dyDescent="0.2">
      <c r="B6" s="36" t="str">
        <f>Library!C4</f>
        <v>Herindra</v>
      </c>
      <c r="C6" s="32" t="str" cm="1">
        <f t="array" ref="C6">IFERROR(INDEX(_xlfn._xlws.FILTER(ResourceAllocation!A:A,(ResourceAllocation!B:B=WorkloadSummary!B6)*(ResourceAllocation!E:E&lt;&gt;"Completed")),1),"")</f>
        <v/>
      </c>
      <c r="D6" s="17" t="str" cm="1">
        <f t="array" ref="D6">IFERROR(INDEX(_xlfn._xlws.FILTER(ResourceAllocation!G:G,(ResourceAllocation!B:B=WorkloadSummary!B6)*(ResourceAllocation!E:E&lt;&gt;"Completed")),1),"")</f>
        <v/>
      </c>
      <c r="E6" s="37" t="s">
        <v>8</v>
      </c>
      <c r="F6" s="21" t="str" cm="1">
        <f t="array" ref="F6">IFERROR(INDEX(_xlfn._xlws.FILTER(ResourceAllocation!G:G,(ResourceAllocation!B:B=WorkloadSummary!B6)*(ResourceAllocation!E:E&lt;&gt;"Completed")),2),"")</f>
        <v/>
      </c>
      <c r="G6" s="32" t="str" cm="1">
        <f t="array" ref="G6">IFERROR(INDEX(_xlfn._xlws.FILTER(ResourceAllocation!A:A,(ResourceAllocation!B:B=WorkloadSummary!B6)*(ResourceAllocation!E:E&lt;&gt;"Completed")),3),"")</f>
        <v/>
      </c>
      <c r="H6" s="17" t="str" cm="1">
        <f t="array" ref="H6">IFERROR(INDEX(_xlfn._xlws.FILTER(ResourceAllocation!G:G,(ResourceAllocation!B:B=WorkloadSummary!B6)*(ResourceAllocation!E:E&lt;&gt;"Completed")),3),"")</f>
        <v/>
      </c>
      <c r="I6" s="37" t="str" cm="1">
        <f t="array" ref="I6">IFERROR(INDEX(_xlfn._xlws.FILTER(ResourceAllocation!A:A,(ResourceAllocation!B:B=WorkloadSummary!B6)*(ResourceAllocation!E:E&lt;&gt;"Completed")),4),"")</f>
        <v/>
      </c>
      <c r="J6" s="38" t="str" cm="1">
        <f t="array" ref="J6">IFERROR(INDEX(_xlfn._xlws.FILTER(ResourceAllocation!G:G,(ResourceAllocation!B:B=WorkloadSummary!B6)*(ResourceAllocation!E:E&lt;&gt;"Completed")),4),"")</f>
        <v/>
      </c>
      <c r="K6" s="32" t="str" cm="1">
        <f t="array" ref="K6">IFERROR(INDEX(_xlfn._xlws.FILTER(ResourceAllocation!A:A,(ResourceAllocation!B:B=WorkloadSummary!B6)*(ResourceAllocation!E:E&lt;&gt;"Completed")),5),"")</f>
        <v/>
      </c>
      <c r="L6" s="39"/>
    </row>
    <row r="7" spans="2:12" ht="16" x14ac:dyDescent="0.2">
      <c r="B7" s="36" t="str">
        <f>Library!C5</f>
        <v>Care BA</v>
      </c>
      <c r="C7" s="32" t="str" cm="1">
        <f t="array" ref="C7">IFERROR(INDEX(_xlfn._xlws.FILTER(ResourceAllocation!A:A,(ResourceAllocation!B:B=WorkloadSummary!B7)*(ResourceAllocation!E:E&lt;&gt;"Completed")),1),"")</f>
        <v/>
      </c>
      <c r="D7" s="17" t="str" cm="1">
        <f t="array" ref="D7">IFERROR(INDEX(_xlfn._xlws.FILTER(ResourceAllocation!G:G,(ResourceAllocation!B:B=WorkloadSummary!B7)*(ResourceAllocation!E:E&lt;&gt;"Completed")),1),"")</f>
        <v/>
      </c>
      <c r="E7" s="37" t="str" cm="1">
        <f t="array" ref="E7">IFERROR(INDEX(_xlfn._xlws.FILTER(ResourceAllocation!A:A,(ResourceAllocation!B:B=WorkloadSummary!B7)*(ResourceAllocation!E:E&lt;&gt;"Completed")),2),"")</f>
        <v/>
      </c>
      <c r="F7" s="21" t="str" cm="1">
        <f t="array" ref="F7">IFERROR(INDEX(_xlfn._xlws.FILTER(ResourceAllocation!G:G,(ResourceAllocation!B:B=WorkloadSummary!B7)*(ResourceAllocation!E:E&lt;&gt;"Completed")),2),"")</f>
        <v/>
      </c>
      <c r="G7" s="32" t="str" cm="1">
        <f t="array" ref="G7">IFERROR(INDEX(_xlfn._xlws.FILTER(ResourceAllocation!A:A,(ResourceAllocation!B:B=WorkloadSummary!B7)*(ResourceAllocation!E:E&lt;&gt;"Completed")),3),"")</f>
        <v/>
      </c>
      <c r="H7" s="17" t="str" cm="1">
        <f t="array" ref="H7">IFERROR(INDEX(_xlfn._xlws.FILTER(ResourceAllocation!G:G,(ResourceAllocation!B:B=WorkloadSummary!B7)*(ResourceAllocation!E:E&lt;&gt;"Completed")),3),"")</f>
        <v/>
      </c>
      <c r="I7" s="37" t="str" cm="1">
        <f t="array" ref="I7">IFERROR(INDEX(_xlfn._xlws.FILTER(ResourceAllocation!A:A,(ResourceAllocation!B:B=WorkloadSummary!B7)*(ResourceAllocation!E:E&lt;&gt;"Completed")),4),"")</f>
        <v/>
      </c>
      <c r="J7" s="38" t="str" cm="1">
        <f t="array" ref="J7">IFERROR(INDEX(_xlfn._xlws.FILTER(ResourceAllocation!G:G,(ResourceAllocation!B:B=WorkloadSummary!B7)*(ResourceAllocation!E:E&lt;&gt;"Completed")),4),"")</f>
        <v/>
      </c>
      <c r="K7" s="32" t="str" cm="1">
        <f t="array" ref="K7">IFERROR(INDEX(_xlfn._xlws.FILTER(ResourceAllocation!A:A,(ResourceAllocation!B:B=WorkloadSummary!B7)*(ResourceAllocation!E:E&lt;&gt;"Completed")),5),"")</f>
        <v/>
      </c>
      <c r="L7" s="39"/>
    </row>
    <row r="8" spans="2:12" ht="16" x14ac:dyDescent="0.2">
      <c r="B8" s="36" t="str">
        <f>Library!C6</f>
        <v>Azdan</v>
      </c>
      <c r="C8" s="40" t="str" cm="1">
        <f t="array" ref="C8">IFERROR(INDEX(_xlfn._xlws.FILTER(ResourceAllocation!A:A,(ResourceAllocation!B:B=WorkloadSummary!B8)*(ResourceAllocation!E:E&lt;&gt;"Completed")),1),"")</f>
        <v/>
      </c>
      <c r="D8" s="17" t="str" cm="1">
        <f t="array" ref="D8">IFERROR(INDEX(_xlfn._xlws.FILTER(ResourceAllocation!G:G,(ResourceAllocation!B:B=WorkloadSummary!B8)*(ResourceAllocation!E:E&lt;&gt;"Completed")),1),"")</f>
        <v/>
      </c>
      <c r="E8" s="37" t="str" cm="1">
        <f t="array" ref="E8">IFERROR(INDEX(_xlfn._xlws.FILTER(ResourceAllocation!A:A,(ResourceAllocation!B:B=WorkloadSummary!B8)*(ResourceAllocation!E:E&lt;&gt;"Completed")),2),"")</f>
        <v/>
      </c>
      <c r="F8" s="21" t="str" cm="1">
        <f t="array" ref="F8">IFERROR(INDEX(_xlfn._xlws.FILTER(ResourceAllocation!G:G,(ResourceAllocation!B:B=WorkloadSummary!B8)*(ResourceAllocation!E:E&lt;&gt;"Completed")),2),"")</f>
        <v/>
      </c>
      <c r="G8" s="40" t="str" cm="1">
        <f t="array" ref="G8">IFERROR(INDEX(_xlfn._xlws.FILTER(ResourceAllocation!A:A,(ResourceAllocation!B:B=WorkloadSummary!B8)*(ResourceAllocation!E:E&lt;&gt;"Completed")),3),"")</f>
        <v/>
      </c>
      <c r="H8" s="17" t="str" cm="1">
        <f t="array" ref="H8">IFERROR(INDEX(_xlfn._xlws.FILTER(ResourceAllocation!G:G,(ResourceAllocation!B:B=WorkloadSummary!B8)*(ResourceAllocation!E:E&lt;&gt;"Completed")),3),"")</f>
        <v/>
      </c>
      <c r="I8" s="41" t="str" cm="1">
        <f t="array" ref="I8">IFERROR(INDEX(_xlfn._xlws.FILTER(ResourceAllocation!A:A,(ResourceAllocation!B:B=WorkloadSummary!B8)*(ResourceAllocation!E:E&lt;&gt;"Completed")),4),"")</f>
        <v/>
      </c>
      <c r="J8" s="16" t="str" cm="1">
        <f t="array" ref="J8">IFERROR(INDEX(_xlfn._xlws.FILTER(ResourceAllocation!G:G,(ResourceAllocation!B:B=WorkloadSummary!B8)*(ResourceAllocation!E:E&lt;&gt;"Completed")),4),"")</f>
        <v/>
      </c>
      <c r="K8" s="32" t="str" cm="1">
        <f t="array" ref="K8">IFERROR(INDEX(_xlfn._xlws.FILTER(ResourceAllocation!A:A,(ResourceAllocation!B:B=WorkloadSummary!B8)*(ResourceAllocation!E:E&lt;&gt;"Completed")),5),"")</f>
        <v/>
      </c>
      <c r="L8" s="35" t="str" cm="1">
        <f t="array" ref="L8">IFERROR(INDEX(_xlfn._xlws.FILTER(ResourceAllocation!G:G,(ResourceAllocation!B:B=WorkloadSummary!B8)*(ResourceAllocation!E:E&lt;&gt;"Completed")),5),"")</f>
        <v/>
      </c>
    </row>
    <row r="9" spans="2:12" ht="16" x14ac:dyDescent="0.2">
      <c r="B9" s="36" t="str">
        <f>Library!C7</f>
        <v>Laili</v>
      </c>
      <c r="C9" s="32" t="str" cm="1">
        <f t="array" ref="C9">IFERROR(INDEX(_xlfn._xlws.FILTER(ResourceAllocation!A:A,(ResourceAllocation!B:B=WorkloadSummary!B9)*(ResourceAllocation!E:E&lt;&gt;"Completed")),1),"")</f>
        <v/>
      </c>
      <c r="D9" s="17" t="str" cm="1">
        <f t="array" ref="D9">IFERROR(INDEX(_xlfn._xlws.FILTER(ResourceAllocation!G:G,(ResourceAllocation!B:B=WorkloadSummary!B9)*(ResourceAllocation!E:E&lt;&gt;"Completed")),1),"")</f>
        <v/>
      </c>
      <c r="E9" s="37" t="str" cm="1">
        <f t="array" ref="E9">IFERROR(INDEX(_xlfn._xlws.FILTER(ResourceAllocation!A:A,(ResourceAllocation!B:B=WorkloadSummary!B9)*(ResourceAllocation!E:E&lt;&gt;"Completed")),2),"")</f>
        <v/>
      </c>
      <c r="F9" s="21" t="str" cm="1">
        <f t="array" ref="F9">IFERROR(INDEX(_xlfn._xlws.FILTER(ResourceAllocation!G:G,(ResourceAllocation!B:B=WorkloadSummary!B9)*(ResourceAllocation!E:E&lt;&gt;"Completed")),2),"")</f>
        <v/>
      </c>
      <c r="G9" s="32" t="str" cm="1">
        <f t="array" ref="G9">IFERROR(INDEX(_xlfn._xlws.FILTER(ResourceAllocation!A:A,(ResourceAllocation!B:B=WorkloadSummary!B9)*(ResourceAllocation!E:E&lt;&gt;"Completed")),3),"")</f>
        <v/>
      </c>
      <c r="H9" s="17" t="str" cm="1">
        <f t="array" ref="H9">IFERROR(INDEX(_xlfn._xlws.FILTER(ResourceAllocation!G:G,(ResourceAllocation!B:B=WorkloadSummary!B9)*(ResourceAllocation!E:E&lt;&gt;"Completed")),3),"")</f>
        <v/>
      </c>
      <c r="I9" s="37" t="str" cm="1">
        <f t="array" ref="I9">IFERROR(INDEX(_xlfn._xlws.FILTER(ResourceAllocation!A:A,(ResourceAllocation!B:B=WorkloadSummary!B9)*(ResourceAllocation!E:E&lt;&gt;"Completed")),4),"")</f>
        <v/>
      </c>
      <c r="J9" s="38" t="str" cm="1">
        <f t="array" ref="J9">IFERROR(INDEX(_xlfn._xlws.FILTER(ResourceAllocation!G:G,(ResourceAllocation!B:B=WorkloadSummary!B9)*(ResourceAllocation!E:E&lt;&gt;"Completed")),4),"")</f>
        <v/>
      </c>
      <c r="K9" s="32" t="str" cm="1">
        <f t="array" ref="K9">IFERROR(INDEX(_xlfn._xlws.FILTER(ResourceAllocation!A:A,(ResourceAllocation!B:B=WorkloadSummary!B9)*(ResourceAllocation!E:E&lt;&gt;"Completed")),5),"")</f>
        <v/>
      </c>
      <c r="L9" s="39"/>
    </row>
    <row r="10" spans="2:12" ht="16" x14ac:dyDescent="0.2">
      <c r="B10" s="36" t="str">
        <f>Library!C8</f>
        <v>Cici</v>
      </c>
      <c r="C10" s="32" t="str" cm="1">
        <f t="array" ref="C10">IFERROR(INDEX(_xlfn._xlws.FILTER(ResourceAllocation!A:A,(ResourceAllocation!B:B=WorkloadSummary!B10)*(ResourceAllocation!E:E&lt;&gt;"Completed")),1),"")</f>
        <v/>
      </c>
      <c r="D10" s="17" t="str" cm="1">
        <f t="array" ref="D10">IFERROR(INDEX(_xlfn._xlws.FILTER(ResourceAllocation!G:G,(ResourceAllocation!B:B=WorkloadSummary!B10)*(ResourceAllocation!E:E&lt;&gt;"Completed")),1),"")</f>
        <v/>
      </c>
      <c r="E10" s="37" t="str" cm="1">
        <f t="array" ref="E10">IFERROR(INDEX(_xlfn._xlws.FILTER(ResourceAllocation!A:A,(ResourceAllocation!B:B=WorkloadSummary!B10)*(ResourceAllocation!E:E&lt;&gt;"Completed")),2),"")</f>
        <v/>
      </c>
      <c r="F10" s="21" t="str" cm="1">
        <f t="array" ref="F10">IFERROR(INDEX(_xlfn._xlws.FILTER(ResourceAllocation!G:G,(ResourceAllocation!B:B=WorkloadSummary!B10)*(ResourceAllocation!E:E&lt;&gt;"Completed")),2),"")</f>
        <v/>
      </c>
      <c r="G10" s="32" t="str" cm="1">
        <f t="array" ref="G10">IFERROR(INDEX(_xlfn._xlws.FILTER(ResourceAllocation!A:A,(ResourceAllocation!B:B=WorkloadSummary!B10)*(ResourceAllocation!E:E&lt;&gt;"Completed")),3),"")</f>
        <v/>
      </c>
      <c r="H10" s="17" t="str" cm="1">
        <f t="array" ref="H10">IFERROR(INDEX(_xlfn._xlws.FILTER(ResourceAllocation!G:G,(ResourceAllocation!B:B=WorkloadSummary!B10)*(ResourceAllocation!E:E&lt;&gt;"Completed")),3),"")</f>
        <v/>
      </c>
      <c r="I10" s="37" t="str" cm="1">
        <f t="array" ref="I10">IFERROR(INDEX(_xlfn._xlws.FILTER(ResourceAllocation!A:A,(ResourceAllocation!B:B=WorkloadSummary!B10)*(ResourceAllocation!E:E&lt;&gt;"Completed")),4),"")</f>
        <v/>
      </c>
      <c r="J10" s="38" t="str" cm="1">
        <f t="array" ref="J10">IFERROR(INDEX(_xlfn._xlws.FILTER(ResourceAllocation!G:G,(ResourceAllocation!B:B=WorkloadSummary!B10)*(ResourceAllocation!E:E&lt;&gt;"Completed")),4),"")</f>
        <v/>
      </c>
      <c r="K10" s="32"/>
      <c r="L10" s="39"/>
    </row>
    <row r="11" spans="2:12" ht="17" thickBot="1" x14ac:dyDescent="0.25">
      <c r="B11" s="42" t="str">
        <f>Library!C9</f>
        <v>Yosy</v>
      </c>
      <c r="C11" s="43" t="str" cm="1">
        <f t="array" ref="C11">IFERROR(INDEX(_xlfn._xlws.FILTER(ResourceAllocation!A:A,(ResourceAllocation!B:B=WorkloadSummary!B11)*(ResourceAllocation!E:E&lt;&gt;"Completed")),1),"")</f>
        <v/>
      </c>
      <c r="D11" s="18" t="str" cm="1">
        <f t="array" ref="D11">IFERROR(INDEX(_xlfn._xlws.FILTER(ResourceAllocation!G:G,(ResourceAllocation!B:B=WorkloadSummary!B11)*(ResourceAllocation!E:E&lt;&gt;"Completed")),1),"")</f>
        <v/>
      </c>
      <c r="E11" s="44" t="str" cm="1">
        <f t="array" ref="E11">IFERROR(INDEX(_xlfn._xlws.FILTER(ResourceAllocation!A:A,(ResourceAllocation!B:B=WorkloadSummary!B11)*(ResourceAllocation!E:E&lt;&gt;"Completed")),2),"")</f>
        <v/>
      </c>
      <c r="F11" s="22" t="str" cm="1">
        <f t="array" ref="F11">IFERROR(INDEX(_xlfn._xlws.FILTER(ResourceAllocation!G:G,(ResourceAllocation!B:B=WorkloadSummary!B11)*(ResourceAllocation!E:E&lt;&gt;"Completed")),2),"")</f>
        <v/>
      </c>
      <c r="G11" s="43" t="str" cm="1">
        <f t="array" ref="G11">IFERROR(INDEX(_xlfn._xlws.FILTER(ResourceAllocation!A:A,(ResourceAllocation!B:B=WorkloadSummary!B11)*(ResourceAllocation!E:E&lt;&gt;"Completed")),3),"")</f>
        <v/>
      </c>
      <c r="H11" s="18" t="str" cm="1">
        <f t="array" ref="H11">IFERROR(INDEX(_xlfn._xlws.FILTER(ResourceAllocation!G:G,(ResourceAllocation!B:B=WorkloadSummary!B11)*(ResourceAllocation!E:E&lt;&gt;"Completed")),3),"")</f>
        <v/>
      </c>
      <c r="I11" s="44" t="str" cm="1">
        <f t="array" ref="I11">IFERROR(INDEX(_xlfn._xlws.FILTER(ResourceAllocation!A:A,(ResourceAllocation!B:B=WorkloadSummary!B11)*(ResourceAllocation!E:E&lt;&gt;"Completed")),4),"")</f>
        <v/>
      </c>
      <c r="J11" s="45" t="str" cm="1">
        <f t="array" ref="J11">IFERROR(INDEX(_xlfn._xlws.FILTER(ResourceAllocation!G:G,(ResourceAllocation!B:B=WorkloadSummary!B11)*(ResourceAllocation!E:E&lt;&gt;"Completed")),4),"")</f>
        <v/>
      </c>
      <c r="K11" s="43" t="str" cm="1">
        <f t="array" ref="K11">IFERROR(INDEX(_xlfn._xlws.FILTER(ResourceAllocation!A:A,(ResourceAllocation!B:B=WorkloadSummary!B11)*(ResourceAllocation!E:E&lt;&gt;"Completed")),5),"")</f>
        <v/>
      </c>
      <c r="L11" s="46"/>
    </row>
    <row r="13" spans="2:12" x14ac:dyDescent="0.2">
      <c r="C13" t="s">
        <v>9</v>
      </c>
      <c r="D13" t="s">
        <v>10</v>
      </c>
      <c r="E13" t="s">
        <v>11</v>
      </c>
      <c r="F13" t="s">
        <v>12</v>
      </c>
      <c r="G13" t="s">
        <v>13</v>
      </c>
      <c r="H13" t="s">
        <v>14</v>
      </c>
      <c r="I13" t="s">
        <v>15</v>
      </c>
    </row>
    <row r="14" spans="2:12" ht="16" x14ac:dyDescent="0.2">
      <c r="B14" s="3" t="s">
        <v>16</v>
      </c>
      <c r="C14">
        <f>COUNTIFS(ResourceAllocation!$E:$E,WorkloadSummary!$B14,ResourceAllocation!B:B,WorkloadSummary!C$13)</f>
        <v>1</v>
      </c>
      <c r="D14">
        <f>COUNTIFS(ResourceAllocation!$E:$E,WorkloadSummary!$B14,ResourceAllocation!B:B,WorkloadSummary!D$13)</f>
        <v>0</v>
      </c>
      <c r="E14">
        <f>COUNTIFS(ResourceAllocation!$E:$E,WorkloadSummary!$B14,ResourceAllocation!B:B,WorkloadSummary!E$13)</f>
        <v>0</v>
      </c>
      <c r="F14">
        <f>COUNTIFS(ResourceAllocation!$E:$E,WorkloadSummary!$B14,ResourceAllocation!B:B,WorkloadSummary!F$13)</f>
        <v>0</v>
      </c>
      <c r="G14">
        <f>COUNTIFS(ResourceAllocation!$E:$E,WorkloadSummary!$B14,ResourceAllocation!B:B,WorkloadSummary!G$13)</f>
        <v>0</v>
      </c>
      <c r="H14">
        <f>COUNTIFS(ResourceAllocation!$E:$E,WorkloadSummary!$B14,ResourceAllocation!F:F,WorkloadSummary!H$13)</f>
        <v>0</v>
      </c>
      <c r="I14">
        <f>COUNTIFS(ResourceAllocation!$E:$E,WorkloadSummary!$B14,ResourceAllocation!J:J,WorkloadSummary!I$13)</f>
        <v>0</v>
      </c>
    </row>
    <row r="15" spans="2:12" ht="16" x14ac:dyDescent="0.2">
      <c r="B15" s="3" t="s">
        <v>17</v>
      </c>
      <c r="C15">
        <f>COUNTIFS(ResourceAllocation!$E:$E,WorkloadSummary!$B15,ResourceAllocation!B:B,WorkloadSummary!C$13)</f>
        <v>0</v>
      </c>
      <c r="D15">
        <f>COUNTIFS(ResourceAllocation!$E:$E,WorkloadSummary!$B15,ResourceAllocation!B:B,WorkloadSummary!D$13)</f>
        <v>0</v>
      </c>
      <c r="E15">
        <f>COUNTIFS(ResourceAllocation!$E:$E,WorkloadSummary!$B15,ResourceAllocation!B:B,WorkloadSummary!E$13)</f>
        <v>0</v>
      </c>
      <c r="F15">
        <f>COUNTIFS(ResourceAllocation!$E:$E,WorkloadSummary!$B15,ResourceAllocation!B:B,WorkloadSummary!F$13)</f>
        <v>0</v>
      </c>
      <c r="G15">
        <f>COUNTIFS(ResourceAllocation!$E:$E,WorkloadSummary!$B15,ResourceAllocation!B:B,WorkloadSummary!G$13)</f>
        <v>0</v>
      </c>
      <c r="H15">
        <f>COUNTIFS(ResourceAllocation!$E:$E,WorkloadSummary!$B15,ResourceAllocation!F:F,WorkloadSummary!H$13)</f>
        <v>0</v>
      </c>
      <c r="I15">
        <f>COUNTIFS(ResourceAllocation!$E:$E,WorkloadSummary!$B15,ResourceAllocation!J:J,WorkloadSummary!I$13)</f>
        <v>0</v>
      </c>
    </row>
    <row r="16" spans="2:12" ht="16" x14ac:dyDescent="0.2">
      <c r="B16" s="3" t="s">
        <v>18</v>
      </c>
      <c r="C16">
        <f>COUNTIFS(ResourceAllocation!$E:$E,WorkloadSummary!$B16,ResourceAllocation!B:B,WorkloadSummary!C$13)</f>
        <v>0</v>
      </c>
      <c r="D16">
        <f>COUNTIFS(ResourceAllocation!$E:$E,WorkloadSummary!$B16,ResourceAllocation!B:B,WorkloadSummary!D$13)</f>
        <v>0</v>
      </c>
      <c r="E16">
        <f>COUNTIFS(ResourceAllocation!$E:$E,WorkloadSummary!$B16,ResourceAllocation!B:B,WorkloadSummary!E$13)</f>
        <v>0</v>
      </c>
      <c r="F16">
        <f>COUNTIFS(ResourceAllocation!$E:$E,WorkloadSummary!$B16,ResourceAllocation!B:B,WorkloadSummary!F$13)</f>
        <v>0</v>
      </c>
      <c r="G16">
        <f>COUNTIFS(ResourceAllocation!$E:$E,WorkloadSummary!$B16,ResourceAllocation!B:B,WorkloadSummary!G$13)</f>
        <v>0</v>
      </c>
      <c r="H16">
        <f>COUNTIFS(ResourceAllocation!$E:$E,WorkloadSummary!$B16,ResourceAllocation!F:F,WorkloadSummary!H$13)</f>
        <v>0</v>
      </c>
      <c r="I16">
        <f>COUNTIFS(ResourceAllocation!$E:$E,WorkloadSummary!$B16,ResourceAllocation!J:J,WorkloadSummary!I$13)</f>
        <v>0</v>
      </c>
    </row>
    <row r="17" spans="2:9" ht="16" x14ac:dyDescent="0.2">
      <c r="B17" s="3" t="s">
        <v>19</v>
      </c>
      <c r="C17">
        <f>COUNTIFS(ResourceAllocation!$E:$E,WorkloadSummary!$B17,ResourceAllocation!B:B,WorkloadSummary!C$13)</f>
        <v>0</v>
      </c>
      <c r="D17">
        <f>COUNTIFS(ResourceAllocation!$E:$E,WorkloadSummary!$B17,ResourceAllocation!B:B,WorkloadSummary!D$13)</f>
        <v>0</v>
      </c>
      <c r="E17">
        <f>COUNTIFS(ResourceAllocation!$E:$E,WorkloadSummary!$B17,ResourceAllocation!B:B,WorkloadSummary!E$13)</f>
        <v>0</v>
      </c>
      <c r="F17">
        <f>COUNTIFS(ResourceAllocation!$E:$E,WorkloadSummary!$B17,ResourceAllocation!B:B,WorkloadSummary!F$13)</f>
        <v>0</v>
      </c>
      <c r="G17">
        <f>COUNTIFS(ResourceAllocation!$E:$E,WorkloadSummary!$B17,ResourceAllocation!B:B,WorkloadSummary!G$13)</f>
        <v>0</v>
      </c>
      <c r="H17">
        <f>COUNTIFS(ResourceAllocation!$E:$E,WorkloadSummary!$B17,ResourceAllocation!F:F,WorkloadSummary!H$13)</f>
        <v>0</v>
      </c>
      <c r="I17">
        <f>COUNTIFS(ResourceAllocation!$E:$E,WorkloadSummary!$B17,ResourceAllocation!J:J,WorkloadSummary!I$13)</f>
        <v>0</v>
      </c>
    </row>
    <row r="18" spans="2:9" ht="16" x14ac:dyDescent="0.2">
      <c r="B18" s="3" t="s">
        <v>20</v>
      </c>
      <c r="C18">
        <f>COUNTIFS(ResourceAllocation!$E:$E,WorkloadSummary!$B18,ResourceAllocation!B:B,WorkloadSummary!C$13)</f>
        <v>0</v>
      </c>
      <c r="D18">
        <f>COUNTIFS(ResourceAllocation!$E:$E,WorkloadSummary!$B18,ResourceAllocation!B:B,WorkloadSummary!D$13)</f>
        <v>0</v>
      </c>
      <c r="E18">
        <f>COUNTIFS(ResourceAllocation!$E:$E,WorkloadSummary!$B18,ResourceAllocation!B:B,WorkloadSummary!E$13)</f>
        <v>0</v>
      </c>
      <c r="F18">
        <f>COUNTIFS(ResourceAllocation!$E:$E,WorkloadSummary!$B18,ResourceAllocation!B:B,WorkloadSummary!F$13)</f>
        <v>0</v>
      </c>
      <c r="G18">
        <f>COUNTIFS(ResourceAllocation!$E:$E,WorkloadSummary!$B18,ResourceAllocation!B:B,WorkloadSummary!G$13)</f>
        <v>0</v>
      </c>
      <c r="H18">
        <f>COUNTIFS(ResourceAllocation!$E:$E,WorkloadSummary!$B18,ResourceAllocation!F:F,WorkloadSummary!H$13)</f>
        <v>0</v>
      </c>
      <c r="I18">
        <f>COUNTIFS(ResourceAllocation!$E:$E,WorkloadSummary!$B18,ResourceAllocation!J:J,WorkloadSummary!I$13)</f>
        <v>0</v>
      </c>
    </row>
    <row r="19" spans="2:9" ht="32" x14ac:dyDescent="0.2">
      <c r="B19" s="3" t="s">
        <v>21</v>
      </c>
      <c r="C19">
        <f>COUNTIFS(ResourceAllocation!$E:$E,WorkloadSummary!$B19,ResourceAllocation!B:B,WorkloadSummary!C$13)</f>
        <v>0</v>
      </c>
      <c r="D19">
        <f>COUNTIFS(ResourceAllocation!$E:$E,WorkloadSummary!$B19,ResourceAllocation!B:B,WorkloadSummary!D$13)</f>
        <v>0</v>
      </c>
      <c r="E19">
        <f>COUNTIFS(ResourceAllocation!$E:$E,WorkloadSummary!$B19,ResourceAllocation!B:B,WorkloadSummary!E$13)</f>
        <v>0</v>
      </c>
      <c r="F19">
        <f>COUNTIFS(ResourceAllocation!$E:$E,WorkloadSummary!$B19,ResourceAllocation!B:B,WorkloadSummary!F$13)</f>
        <v>0</v>
      </c>
      <c r="G19">
        <f>COUNTIFS(ResourceAllocation!$E:$E,WorkloadSummary!$B19,ResourceAllocation!B:B,WorkloadSummary!G$13)</f>
        <v>0</v>
      </c>
      <c r="H19">
        <f>COUNTIFS(ResourceAllocation!$E:$E,WorkloadSummary!$B19,ResourceAllocation!F:F,WorkloadSummary!H$13)</f>
        <v>0</v>
      </c>
      <c r="I19">
        <f>COUNTIFS(ResourceAllocation!$E:$E,WorkloadSummary!$B19,ResourceAllocation!J:J,WorkloadSummary!I$13)</f>
        <v>0</v>
      </c>
    </row>
    <row r="20" spans="2:9" ht="16" x14ac:dyDescent="0.2">
      <c r="B20" s="3" t="s">
        <v>22</v>
      </c>
      <c r="C20">
        <f>COUNTIFS(ResourceAllocation!$E:$E,WorkloadSummary!$B20,ResourceAllocation!B:B,WorkloadSummary!C$13)</f>
        <v>0</v>
      </c>
      <c r="D20">
        <f>COUNTIFS(ResourceAllocation!$E:$E,WorkloadSummary!$B20,ResourceAllocation!B:B,WorkloadSummary!D$13)</f>
        <v>0</v>
      </c>
      <c r="E20">
        <f>COUNTIFS(ResourceAllocation!$E:$E,WorkloadSummary!$B20,ResourceAllocation!B:B,WorkloadSummary!E$13)</f>
        <v>0</v>
      </c>
      <c r="F20">
        <f>COUNTIFS(ResourceAllocation!$E:$E,WorkloadSummary!$B20,ResourceAllocation!B:B,WorkloadSummary!F$13)</f>
        <v>0</v>
      </c>
      <c r="G20">
        <f>COUNTIFS(ResourceAllocation!$E:$E,WorkloadSummary!$B20,ResourceAllocation!B:B,WorkloadSummary!G$13)</f>
        <v>0</v>
      </c>
      <c r="H20">
        <f>COUNTIFS(ResourceAllocation!$E:$E,WorkloadSummary!$B20,ResourceAllocation!F:F,WorkloadSummary!H$13)</f>
        <v>0</v>
      </c>
      <c r="I20">
        <f>COUNTIFS(ResourceAllocation!$E:$E,WorkloadSummary!$B20,ResourceAllocation!J:J,WorkloadSummary!I$13)</f>
        <v>0</v>
      </c>
    </row>
    <row r="21" spans="2:9" ht="16" x14ac:dyDescent="0.2">
      <c r="B21" s="3" t="s">
        <v>23</v>
      </c>
      <c r="C21">
        <f>COUNTIFS(ResourceAllocation!$E:$E,WorkloadSummary!$B21,ResourceAllocation!B:B,WorkloadSummary!C$13)</f>
        <v>0</v>
      </c>
      <c r="D21">
        <f>COUNTIFS(ResourceAllocation!$E:$E,WorkloadSummary!$B21,ResourceAllocation!B:B,WorkloadSummary!D$13)</f>
        <v>0</v>
      </c>
      <c r="E21">
        <f>COUNTIFS(ResourceAllocation!$E:$E,WorkloadSummary!$B21,ResourceAllocation!B:B,WorkloadSummary!E$13)</f>
        <v>0</v>
      </c>
      <c r="F21">
        <f>COUNTIFS(ResourceAllocation!$E:$E,WorkloadSummary!$B21,ResourceAllocation!B:B,WorkloadSummary!F$13)</f>
        <v>0</v>
      </c>
      <c r="G21">
        <f>COUNTIFS(ResourceAllocation!$E:$E,WorkloadSummary!$B21,ResourceAllocation!B:B,WorkloadSummary!G$13)</f>
        <v>0</v>
      </c>
      <c r="H21">
        <f>COUNTIFS(ResourceAllocation!$E:$E,WorkloadSummary!$B21,ResourceAllocation!F:F,WorkloadSummary!H$13)</f>
        <v>0</v>
      </c>
      <c r="I21">
        <f>COUNTIFS(ResourceAllocation!$E:$E,WorkloadSummary!$B21,ResourceAllocation!J:J,WorkloadSummary!I$13)</f>
        <v>0</v>
      </c>
    </row>
    <row r="22" spans="2:9" ht="16" x14ac:dyDescent="0.2">
      <c r="B22" s="3" t="s">
        <v>24</v>
      </c>
      <c r="C22">
        <f>COUNTIFS(ResourceAllocation!$E:$E,WorkloadSummary!$B22,ResourceAllocation!B:B,WorkloadSummary!C$13)</f>
        <v>0</v>
      </c>
      <c r="D22">
        <f>COUNTIFS(ResourceAllocation!$E:$E,WorkloadSummary!$B22,ResourceAllocation!B:B,WorkloadSummary!D$13)</f>
        <v>0</v>
      </c>
      <c r="E22">
        <f>COUNTIFS(ResourceAllocation!$E:$E,WorkloadSummary!$B22,ResourceAllocation!B:B,WorkloadSummary!E$13)</f>
        <v>0</v>
      </c>
      <c r="F22">
        <f>COUNTIFS(ResourceAllocation!$E:$E,WorkloadSummary!$B22,ResourceAllocation!B:B,WorkloadSummary!F$13)</f>
        <v>0</v>
      </c>
      <c r="G22">
        <f>COUNTIFS(ResourceAllocation!$E:$E,WorkloadSummary!$B22,ResourceAllocation!B:B,WorkloadSummary!G$13)</f>
        <v>0</v>
      </c>
      <c r="H22">
        <f>COUNTIFS(ResourceAllocation!$E:$E,WorkloadSummary!$B22,ResourceAllocation!F:F,WorkloadSummary!H$13)</f>
        <v>0</v>
      </c>
      <c r="I22">
        <f>COUNTIFS(ResourceAllocation!$E:$E,WorkloadSummary!$B22,ResourceAllocation!J:J,WorkloadSummary!I$13)</f>
        <v>0</v>
      </c>
    </row>
    <row r="23" spans="2:9" ht="16" x14ac:dyDescent="0.2">
      <c r="B23" s="3" t="s">
        <v>25</v>
      </c>
      <c r="C23">
        <f>COUNTIFS(ResourceAllocation!$E:$E,WorkloadSummary!$B23,ResourceAllocation!B:B,WorkloadSummary!C$13)</f>
        <v>0</v>
      </c>
      <c r="D23">
        <f>COUNTIFS(ResourceAllocation!$E:$E,WorkloadSummary!$B23,ResourceAllocation!B:B,WorkloadSummary!D$13)</f>
        <v>0</v>
      </c>
      <c r="E23">
        <f>COUNTIFS(ResourceAllocation!$E:$E,WorkloadSummary!$B23,ResourceAllocation!B:B,WorkloadSummary!E$13)</f>
        <v>0</v>
      </c>
      <c r="F23">
        <f>COUNTIFS(ResourceAllocation!$E:$E,WorkloadSummary!$B23,ResourceAllocation!B:B,WorkloadSummary!F$13)</f>
        <v>0</v>
      </c>
      <c r="G23">
        <f>COUNTIFS(ResourceAllocation!$E:$E,WorkloadSummary!$B23,ResourceAllocation!B:B,WorkloadSummary!G$13)</f>
        <v>0</v>
      </c>
      <c r="H23">
        <f>COUNTIFS(ResourceAllocation!$E:$E,WorkloadSummary!$B23,ResourceAllocation!F:F,WorkloadSummary!H$13)</f>
        <v>0</v>
      </c>
      <c r="I23">
        <f>COUNTIFS(ResourceAllocation!$E:$E,WorkloadSummary!$B23,ResourceAllocation!J:J,WorkloadSummary!I$13)</f>
        <v>0</v>
      </c>
    </row>
    <row r="24" spans="2:9" ht="16" x14ac:dyDescent="0.2">
      <c r="B24" s="3" t="s">
        <v>26</v>
      </c>
      <c r="C24">
        <f>COUNTIFS(ResourceAllocation!$E:$E,WorkloadSummary!$B24,ResourceAllocation!B:B,WorkloadSummary!C$13)</f>
        <v>6</v>
      </c>
      <c r="D24">
        <f>COUNTIFS(ResourceAllocation!$E:$E,WorkloadSummary!$B24,ResourceAllocation!B:B,WorkloadSummary!D$13)</f>
        <v>4</v>
      </c>
      <c r="E24">
        <f>COUNTIFS(ResourceAllocation!$E:$E,WorkloadSummary!$B24,ResourceAllocation!B:B,WorkloadSummary!E$13)</f>
        <v>0</v>
      </c>
      <c r="F24">
        <f>COUNTIFS(ResourceAllocation!$E:$E,WorkloadSummary!$B24,ResourceAllocation!B:B,WorkloadSummary!F$13)</f>
        <v>7</v>
      </c>
      <c r="G24">
        <f>COUNTIFS(ResourceAllocation!$E:$E,WorkloadSummary!$B24,ResourceAllocation!B:B,WorkloadSummary!G$13)</f>
        <v>2</v>
      </c>
      <c r="H24">
        <f ca="1">COUNTIFS(ResourceAllocation!$E:$E,WorkloadSummary!$B24,ResourceAllocation!F:F,WorkloadSummary!H$13)</f>
        <v>0</v>
      </c>
      <c r="I24">
        <f ca="1">COUNTIFS(ResourceAllocation!$E:$E,WorkloadSummary!$B24,ResourceAllocation!J:J,WorkloadSummary!I$13)</f>
        <v>0</v>
      </c>
    </row>
    <row r="25" spans="2:9" ht="16" x14ac:dyDescent="0.2">
      <c r="B25" s="3" t="s">
        <v>27</v>
      </c>
      <c r="C25">
        <f>COUNTIFS(ResourceAllocation!$E:$E,WorkloadSummary!$B25,ResourceAllocation!B:B,WorkloadSummary!C$13)</f>
        <v>0</v>
      </c>
      <c r="D25">
        <f>COUNTIFS(ResourceAllocation!$E:$E,WorkloadSummary!$B25,ResourceAllocation!B:B,WorkloadSummary!D$13)</f>
        <v>0</v>
      </c>
      <c r="E25">
        <f>COUNTIFS(ResourceAllocation!$E:$E,WorkloadSummary!$B25,ResourceAllocation!B:B,WorkloadSummary!E$13)</f>
        <v>0</v>
      </c>
      <c r="F25">
        <f>COUNTIFS(ResourceAllocation!$E:$E,WorkloadSummary!$B25,ResourceAllocation!B:B,WorkloadSummary!F$13)</f>
        <v>0</v>
      </c>
      <c r="G25">
        <f>COUNTIFS(ResourceAllocation!$E:$E,WorkloadSummary!$B25,ResourceAllocation!B:B,WorkloadSummary!G$13)</f>
        <v>0</v>
      </c>
      <c r="H25">
        <f>COUNTIFS(ResourceAllocation!$E:$E,WorkloadSummary!$B25,ResourceAllocation!F:F,WorkloadSummary!H$13)</f>
        <v>0</v>
      </c>
      <c r="I25">
        <f>COUNTIFS(ResourceAllocation!$E:$E,WorkloadSummary!$B25,ResourceAllocation!J:J,WorkloadSummary!I$13)</f>
        <v>0</v>
      </c>
    </row>
    <row r="26" spans="2:9" ht="16" x14ac:dyDescent="0.2">
      <c r="B26" s="3" t="s">
        <v>28</v>
      </c>
      <c r="C26" s="27">
        <f>SUMIFS(ResourceAllocation!$L$3:$L$24,ResourceAllocation!$B$3:$B$24,WorkloadSummary!C13)</f>
        <v>0.25</v>
      </c>
      <c r="D26" s="27">
        <f>SUMIFS(ResourceAllocation!$L$3:$L$24,ResourceAllocation!$B$3:$B$24,WorkloadSummary!D13)</f>
        <v>0</v>
      </c>
      <c r="E26" s="27">
        <f>SUMIFS(ResourceAllocation!$L$3:$L$24,ResourceAllocation!$B$3:$B$24,WorkloadSummary!E13)</f>
        <v>0</v>
      </c>
      <c r="F26" s="27">
        <f>SUMIFS(ResourceAllocation!$L$3:$L$24,ResourceAllocation!$B$3:$B$24,WorkloadSummary!F13)</f>
        <v>0</v>
      </c>
      <c r="G26" s="27">
        <f>SUMIFS(ResourceAllocation!$L$3:$L$24,ResourceAllocation!$B$3:$B$24,WorkloadSummary!G13)</f>
        <v>0</v>
      </c>
      <c r="H26" s="27">
        <f>SUMIFS(ResourceAllocation!$L$3:$L$24,ResourceAllocation!$B$3:$B$24,WorkloadSummary!H13)</f>
        <v>0</v>
      </c>
      <c r="I26" s="27">
        <f>SUMIFS(ResourceAllocation!$L$3:$L$24,ResourceAllocation!$B$3:$B$24,WorkloadSummary!I13)</f>
        <v>0</v>
      </c>
    </row>
    <row r="27" spans="2:9" ht="16" x14ac:dyDescent="0.2">
      <c r="B27" s="3" t="s">
        <v>29</v>
      </c>
      <c r="C27" s="6">
        <f>SUMIFS(ResourceAllocation!I3:I23,ResourceAllocation!B3:B23,WorkloadSummary!C13,ResourceAllocation!E3:E23,"&lt;&gt;Completed")/_xlfn.XLOOKUP(WorkloadSummary!C13,Library!$B$22:$B$26,Library!$C$22:$C$26)</f>
        <v>3.9583333333333338E-2</v>
      </c>
    </row>
    <row r="28" spans="2:9" ht="16" x14ac:dyDescent="0.2">
      <c r="B28" s="3" t="s">
        <v>30</v>
      </c>
    </row>
  </sheetData>
  <mergeCells count="6">
    <mergeCell ref="K3:L3"/>
    <mergeCell ref="G3:H3"/>
    <mergeCell ref="I3:J3"/>
    <mergeCell ref="B3:B4"/>
    <mergeCell ref="C3:D3"/>
    <mergeCell ref="E3:F3"/>
  </mergeCells>
  <phoneticPr fontId="3" type="noConversion"/>
  <pageMargins left="0.7" right="0.7" top="0.75" bottom="0.75" header="0.3" footer="0.3"/>
  <pageSetup orientation="portrait" r:id="rId1"/>
  <headerFooter>
    <oddFooter>&amp;C_x000D_&amp;1#&amp;"Calibri"&amp;10&amp;K000000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B286C-4736-4578-BF2E-D0E05BC40BBB}">
  <dimension ref="A1:N24"/>
  <sheetViews>
    <sheetView tabSelected="1" workbookViewId="0">
      <selection activeCell="A3" sqref="A3"/>
    </sheetView>
  </sheetViews>
  <sheetFormatPr baseColWidth="10" defaultColWidth="8.6640625" defaultRowHeight="15" x14ac:dyDescent="0.2"/>
  <cols>
    <col min="1" max="1" width="28.6640625" style="5" bestFit="1" customWidth="1"/>
    <col min="2" max="2" width="24" style="5" customWidth="1"/>
    <col min="3" max="3" width="8.33203125" style="5" bestFit="1" customWidth="1"/>
    <col min="4" max="4" width="28.33203125" style="5" customWidth="1"/>
    <col min="5" max="5" width="30.6640625" style="5" customWidth="1"/>
    <col min="6" max="7" width="9.6640625" style="5" bestFit="1" customWidth="1"/>
    <col min="8" max="8" width="14.6640625" style="5" bestFit="1" customWidth="1"/>
    <col min="9" max="9" width="14.6640625" style="5" customWidth="1"/>
    <col min="10" max="11" width="9.6640625" style="5" bestFit="1" customWidth="1"/>
    <col min="12" max="13" width="8.6640625" style="5"/>
    <col min="14" max="14" width="9.33203125" style="5" bestFit="1" customWidth="1"/>
    <col min="15" max="16384" width="8.6640625" style="5"/>
  </cols>
  <sheetData>
    <row r="1" spans="1:14" x14ac:dyDescent="0.2">
      <c r="A1" s="65" t="s">
        <v>31</v>
      </c>
      <c r="B1" s="65" t="s">
        <v>32</v>
      </c>
      <c r="C1" s="65" t="s">
        <v>33</v>
      </c>
      <c r="D1" s="65" t="s">
        <v>34</v>
      </c>
      <c r="E1" s="65" t="s">
        <v>35</v>
      </c>
      <c r="F1" s="65" t="s">
        <v>36</v>
      </c>
      <c r="G1" s="65"/>
      <c r="H1" s="65"/>
      <c r="I1" s="65"/>
      <c r="J1" s="65" t="s">
        <v>37</v>
      </c>
      <c r="K1" s="65"/>
      <c r="L1" s="65" t="s">
        <v>38</v>
      </c>
      <c r="M1" s="54" t="s">
        <v>39</v>
      </c>
    </row>
    <row r="2" spans="1:14" x14ac:dyDescent="0.2">
      <c r="A2" s="65"/>
      <c r="B2" s="65"/>
      <c r="C2" s="65"/>
      <c r="D2" s="65"/>
      <c r="E2" s="65"/>
      <c r="F2" s="54" t="s">
        <v>40</v>
      </c>
      <c r="G2" s="54" t="s">
        <v>41</v>
      </c>
      <c r="H2" s="54" t="s">
        <v>42</v>
      </c>
      <c r="I2" s="54" t="s">
        <v>43</v>
      </c>
      <c r="J2" s="54" t="s">
        <v>40</v>
      </c>
      <c r="K2" s="54" t="s">
        <v>41</v>
      </c>
      <c r="L2" s="65"/>
      <c r="M2" s="54"/>
    </row>
    <row r="3" spans="1:14" x14ac:dyDescent="0.2">
      <c r="A3" s="54" t="s">
        <v>133</v>
      </c>
      <c r="B3" s="54" t="s">
        <v>9</v>
      </c>
      <c r="C3" s="54" t="s">
        <v>46</v>
      </c>
      <c r="D3" s="54" t="str">
        <f t="shared" ref="D3:D22" si="0">_xlfn.XLOOKUP(E3,LibsTask,LibsPhase)</f>
        <v>Requirement Gathering &amp; Analysis</v>
      </c>
      <c r="E3" s="54" t="s">
        <v>16</v>
      </c>
      <c r="F3" s="55">
        <v>46029</v>
      </c>
      <c r="G3" s="55" cm="1">
        <f t="array" ref="G3">_xlfn.IFNA(WORKDAY(F3,_xlfn.XLOOKUP(C3,Library!$V$3:$V$5,Library!$W$3:$W$5),_xlfn.VSTACK(ImportantDate!B3:B23,IFERROR(_xlfn._xlws.FILTER(ImportantDate!$F$3:$F$100,ImportantDate!$E$3:$E$100=ResourceAllocation!B3),"1-Jan-2025"))),"")</f>
        <v>46129</v>
      </c>
      <c r="H3" s="56">
        <f>_xlfn.XLOOKUP(C3,Library!$V$3:$V$5,Library!$X$3:$X$5)*_xlfn.XLOOKUP(ResourceAllocation!B3,Library!$B$22:$B$26,Library!$F$22:$F$26)</f>
        <v>118750</v>
      </c>
      <c r="I3" s="56">
        <f>H3/DATEDIF(F3,G3,"m")</f>
        <v>39583.333333333336</v>
      </c>
      <c r="J3" s="55">
        <f>F3</f>
        <v>46029</v>
      </c>
      <c r="K3" s="55">
        <v>45789</v>
      </c>
      <c r="L3" s="57" cm="1">
        <f t="array" ref="L3">_xlfn.XLOOKUP(E3,LibsTask,IF(C3="Low",LowPct,IF(C3="Medium",MediumPct,HighPct)))</f>
        <v>0.25</v>
      </c>
      <c r="M3" s="54"/>
      <c r="N3" s="51"/>
    </row>
    <row r="4" spans="1:14" x14ac:dyDescent="0.2">
      <c r="A4" s="54"/>
      <c r="B4" s="54"/>
      <c r="C4" s="54"/>
      <c r="D4" s="54"/>
      <c r="E4" s="54"/>
      <c r="F4" s="55"/>
      <c r="G4" s="55"/>
      <c r="H4" s="56"/>
      <c r="I4" s="56"/>
      <c r="J4" s="55"/>
      <c r="K4" s="55"/>
      <c r="L4" s="57"/>
      <c r="M4" s="54"/>
    </row>
    <row r="5" spans="1:14" x14ac:dyDescent="0.2">
      <c r="A5" s="54"/>
      <c r="B5" s="54"/>
      <c r="C5" s="54"/>
      <c r="D5" s="54"/>
      <c r="E5" s="54"/>
      <c r="F5" s="55"/>
      <c r="G5" s="55"/>
      <c r="H5" s="56"/>
      <c r="I5" s="56"/>
      <c r="J5" s="55"/>
      <c r="K5" s="54"/>
      <c r="L5" s="57"/>
      <c r="M5" s="58"/>
    </row>
    <row r="6" spans="1:14" ht="32" x14ac:dyDescent="0.2">
      <c r="A6" s="3" t="s">
        <v>47</v>
      </c>
      <c r="B6" s="5" t="s">
        <v>10</v>
      </c>
      <c r="C6" s="5" t="s">
        <v>46</v>
      </c>
      <c r="D6" s="5" t="str">
        <f t="shared" si="0"/>
        <v>Completed</v>
      </c>
      <c r="E6" s="5" t="s">
        <v>26</v>
      </c>
      <c r="F6" s="48">
        <v>45706</v>
      </c>
      <c r="G6" s="48" cm="1">
        <f t="array" ref="G6">_xlfn.IFNA(WORKDAY(F6,_xlfn.XLOOKUP(C6,Library!$V$3:$V$5,Library!$W$3:$W$5),_xlfn.VSTACK(ImportantDate!B6:B26,IFERROR(_xlfn._xlws.FILTER(ImportantDate!$F$3:$F$100,ImportantDate!$E$3:$E$100=ResourceAllocation!B6),"1-Jan-2025"))),"")</f>
        <v>45821</v>
      </c>
      <c r="H6" s="53">
        <f>_xlfn.XLOOKUP(C6,Library!$V$3:$V$5,Library!$X$3:$X$5)*_xlfn.XLOOKUP(ResourceAllocation!B6,Library!$B$22:$B$26,Library!$F$22:$F$26)</f>
        <v>296875</v>
      </c>
      <c r="I6" s="53">
        <f t="shared" ref="I4:I23" si="1">H6/DATEDIF(F6,G6,"m")</f>
        <v>98958.333333333328</v>
      </c>
      <c r="J6" s="48">
        <f t="shared" ref="J4:J23" si="2">F6</f>
        <v>45706</v>
      </c>
      <c r="L6" s="49" cm="1">
        <f t="array" ref="L6">_xlfn.XLOOKUP(E6,LibsTask,IF(C6="Low",LowPct,IF(C6="Medium",MediumPct,HighPct)))</f>
        <v>0</v>
      </c>
    </row>
    <row r="7" spans="1:14" ht="16" x14ac:dyDescent="0.2">
      <c r="A7" s="3" t="s">
        <v>48</v>
      </c>
      <c r="B7" s="5" t="s">
        <v>10</v>
      </c>
      <c r="C7" s="5" t="s">
        <v>46</v>
      </c>
      <c r="D7" s="5" t="str">
        <f t="shared" si="0"/>
        <v>Completed</v>
      </c>
      <c r="E7" s="5" t="s">
        <v>26</v>
      </c>
      <c r="F7" s="48">
        <v>45705</v>
      </c>
      <c r="G7" s="48" cm="1">
        <f t="array" ref="G7">_xlfn.IFNA(WORKDAY(F7,_xlfn.XLOOKUP(C7,Library!$V$3:$V$5,Library!$W$3:$W$5),_xlfn.VSTACK(ImportantDate!B7:B27,IFERROR(_xlfn._xlws.FILTER(ImportantDate!$F$3:$F$100,ImportantDate!$E$3:$E$100=ResourceAllocation!B7),"1-Jan-2025"))),"")</f>
        <v>45820</v>
      </c>
      <c r="H7" s="53">
        <f>_xlfn.XLOOKUP(C7,Library!$V$3:$V$5,Library!$X$3:$X$5)*_xlfn.XLOOKUP(ResourceAllocation!B7,Library!$B$22:$B$26,Library!$F$22:$F$26)</f>
        <v>296875</v>
      </c>
      <c r="I7" s="53">
        <f t="shared" si="1"/>
        <v>98958.333333333328</v>
      </c>
      <c r="J7" s="48">
        <f t="shared" si="2"/>
        <v>45705</v>
      </c>
      <c r="L7" s="49" cm="1">
        <f t="array" ref="L7">_xlfn.XLOOKUP(E7,LibsTask,IF(C7="Low",LowPct,IF(C7="Medium",MediumPct,HighPct)))</f>
        <v>0</v>
      </c>
    </row>
    <row r="8" spans="1:14" ht="16" x14ac:dyDescent="0.2">
      <c r="A8" s="3" t="s">
        <v>49</v>
      </c>
      <c r="B8" s="5" t="s">
        <v>10</v>
      </c>
      <c r="C8" s="5" t="s">
        <v>46</v>
      </c>
      <c r="D8" s="5" t="str">
        <f t="shared" si="0"/>
        <v>Completed</v>
      </c>
      <c r="E8" s="5" t="s">
        <v>26</v>
      </c>
      <c r="F8" s="48">
        <v>45689</v>
      </c>
      <c r="G8" s="48" cm="1">
        <f t="array" ref="G8">_xlfn.IFNA(WORKDAY(F8,_xlfn.XLOOKUP(C8,Library!$V$3:$V$5,Library!$W$3:$W$5),_xlfn.VSTACK(ImportantDate!B8:B28,IFERROR(_xlfn._xlws.FILTER(ImportantDate!$F$3:$F$100,ImportantDate!$E$3:$E$100=ResourceAllocation!B8),"1-Jan-2025"))),"")</f>
        <v>45800</v>
      </c>
      <c r="H8" s="53">
        <f>_xlfn.XLOOKUP(C8,Library!$V$3:$V$5,Library!$X$3:$X$5)*_xlfn.XLOOKUP(ResourceAllocation!B8,Library!$B$22:$B$26,Library!$F$22:$F$26)</f>
        <v>296875</v>
      </c>
      <c r="I8" s="53">
        <f t="shared" si="1"/>
        <v>98958.333333333328</v>
      </c>
      <c r="J8" s="48">
        <f t="shared" si="2"/>
        <v>45689</v>
      </c>
      <c r="L8" s="49" cm="1">
        <f t="array" ref="L8">_xlfn.XLOOKUP(E8,LibsTask,IF(C8="Low",LowPct,IF(C8="Medium",MediumPct,HighPct)))</f>
        <v>0</v>
      </c>
    </row>
    <row r="9" spans="1:14" ht="64" x14ac:dyDescent="0.2">
      <c r="A9" s="3" t="s">
        <v>50</v>
      </c>
      <c r="B9" s="5" t="s">
        <v>10</v>
      </c>
      <c r="C9" s="5" t="s">
        <v>46</v>
      </c>
      <c r="D9" s="5" t="str">
        <f t="shared" si="0"/>
        <v>Completed</v>
      </c>
      <c r="E9" s="5" t="s">
        <v>26</v>
      </c>
      <c r="F9" s="48">
        <v>45717</v>
      </c>
      <c r="G9" s="48" cm="1">
        <f t="array" ref="G9">_xlfn.IFNA(WORKDAY(F9,_xlfn.XLOOKUP(C9,Library!$V$3:$V$5,Library!$W$3:$W$5),_xlfn.VSTACK(ImportantDate!B9:B29,IFERROR(_xlfn._xlws.FILTER(ImportantDate!$F$3:$F$100,ImportantDate!$E$3:$E$100=ResourceAllocation!B9),"1-Jan-2025"))),"")</f>
        <v>45831</v>
      </c>
      <c r="H9" s="53">
        <f>_xlfn.XLOOKUP(C9,Library!$V$3:$V$5,Library!$X$3:$X$5)*_xlfn.XLOOKUP(ResourceAllocation!B9,Library!$B$22:$B$26,Library!$F$22:$F$26)</f>
        <v>296875</v>
      </c>
      <c r="I9" s="53">
        <f t="shared" si="1"/>
        <v>98958.333333333328</v>
      </c>
      <c r="J9" s="48">
        <f t="shared" si="2"/>
        <v>45717</v>
      </c>
      <c r="L9" s="49" cm="1">
        <f t="array" ref="L9">_xlfn.XLOOKUP(E9,LibsTask,IF(C9="Low",LowPct,IF(C9="Medium",MediumPct,HighPct)))</f>
        <v>0</v>
      </c>
      <c r="M9" s="50"/>
    </row>
    <row r="10" spans="1:14" x14ac:dyDescent="0.2">
      <c r="A10" s="5" t="s">
        <v>51</v>
      </c>
      <c r="B10" s="5" t="s">
        <v>12</v>
      </c>
      <c r="C10" s="5" t="s">
        <v>52</v>
      </c>
      <c r="D10" s="5" t="str">
        <f t="shared" si="0"/>
        <v>Completed</v>
      </c>
      <c r="E10" s="5" t="s">
        <v>26</v>
      </c>
      <c r="F10" s="48">
        <v>45717</v>
      </c>
      <c r="G10" s="48" cm="1">
        <f t="array" ref="G10">_xlfn.IFNA(WORKDAY(F10,_xlfn.XLOOKUP(C10,Library!$V$3:$V$5,Library!$W$3:$W$5),_xlfn.VSTACK(ImportantDate!B10:B30,IFERROR(_xlfn._xlws.FILTER(ImportantDate!$F$3:$F$100,ImportantDate!$E$3:$E$100=ResourceAllocation!B10),"1-Jan-2025"))),"")</f>
        <v>45758</v>
      </c>
      <c r="H10" s="53">
        <f>_xlfn.XLOOKUP(C10,Library!$V$3:$V$5,Library!$X$3:$X$5)*_xlfn.XLOOKUP(ResourceAllocation!B10,Library!$B$22:$B$26,Library!$F$22:$F$26)</f>
        <v>190312.5</v>
      </c>
      <c r="I10" s="53">
        <f t="shared" si="1"/>
        <v>190312.5</v>
      </c>
      <c r="J10" s="48">
        <f t="shared" si="2"/>
        <v>45717</v>
      </c>
      <c r="L10" s="49" cm="1">
        <f t="array" ref="L10">_xlfn.XLOOKUP(E10,LibsTask,IF(C10="Low",LowPct,IF(C10="Medium",MediumPct,HighPct)))</f>
        <v>0</v>
      </c>
    </row>
    <row r="11" spans="1:14" x14ac:dyDescent="0.2">
      <c r="A11" s="5" t="s">
        <v>53</v>
      </c>
      <c r="B11" s="5" t="s">
        <v>12</v>
      </c>
      <c r="C11" s="5" t="s">
        <v>46</v>
      </c>
      <c r="D11" s="5" t="str">
        <f t="shared" si="0"/>
        <v>Completed</v>
      </c>
      <c r="E11" s="5" t="s">
        <v>26</v>
      </c>
      <c r="G11" s="48" cm="1">
        <f t="array" ref="G11">_xlfn.IFNA(WORKDAY(F11,_xlfn.XLOOKUP(C11,Library!$V$3:$V$5,Library!$W$3:$W$5),_xlfn.VSTACK(ImportantDate!B11:B31,IFERROR(_xlfn._xlws.FILTER(ImportantDate!$F$3:$F$100,ImportantDate!$E$3:$E$100=ResourceAllocation!B11),"1-Jan-2025"))),"")</f>
        <v>101</v>
      </c>
      <c r="H11" s="53">
        <f>_xlfn.XLOOKUP(C11,Library!$V$3:$V$5,Library!$X$3:$X$5)*_xlfn.XLOOKUP(ResourceAllocation!B11,Library!$B$22:$B$26,Library!$F$22:$F$26)</f>
        <v>249375</v>
      </c>
      <c r="I11" s="53">
        <f t="shared" si="1"/>
        <v>83125</v>
      </c>
      <c r="J11" s="48">
        <f t="shared" si="2"/>
        <v>0</v>
      </c>
      <c r="L11" s="49" cm="1">
        <f t="array" ref="L11">_xlfn.XLOOKUP(E11,LibsTask,IF(C11="Low",LowPct,IF(C11="Medium",MediumPct,HighPct)))</f>
        <v>0</v>
      </c>
    </row>
    <row r="12" spans="1:14" x14ac:dyDescent="0.2">
      <c r="A12" s="5" t="s">
        <v>54</v>
      </c>
      <c r="B12" s="5" t="s">
        <v>12</v>
      </c>
      <c r="C12" s="5" t="s">
        <v>46</v>
      </c>
      <c r="D12" s="5" t="str">
        <f t="shared" si="0"/>
        <v>Completed</v>
      </c>
      <c r="E12" s="5" t="s">
        <v>26</v>
      </c>
      <c r="G12" s="48" cm="1">
        <f t="array" ref="G12">_xlfn.IFNA(WORKDAY(F12,_xlfn.XLOOKUP(C12,Library!$V$3:$V$5,Library!$W$3:$W$5),_xlfn.VSTACK(ImportantDate!B12:B32,IFERROR(_xlfn._xlws.FILTER(ImportantDate!$F$3:$F$100,ImportantDate!$E$3:$E$100=ResourceAllocation!B12),"1-Jan-2025"))),"")</f>
        <v>101</v>
      </c>
      <c r="H12" s="53">
        <f>_xlfn.XLOOKUP(C12,Library!$V$3:$V$5,Library!$X$3:$X$5)*_xlfn.XLOOKUP(ResourceAllocation!B12,Library!$B$22:$B$26,Library!$F$22:$F$26)</f>
        <v>249375</v>
      </c>
      <c r="I12" s="53">
        <f t="shared" si="1"/>
        <v>83125</v>
      </c>
      <c r="J12" s="48">
        <f t="shared" si="2"/>
        <v>0</v>
      </c>
      <c r="L12" s="49" cm="1">
        <f t="array" ref="L12">_xlfn.XLOOKUP(E12,LibsTask,IF(C12="Low",LowPct,IF(C12="Medium",MediumPct,HighPct)))</f>
        <v>0</v>
      </c>
    </row>
    <row r="13" spans="1:14" x14ac:dyDescent="0.2">
      <c r="A13" s="5" t="s">
        <v>55</v>
      </c>
      <c r="B13" s="5" t="s">
        <v>12</v>
      </c>
      <c r="C13" s="5" t="s">
        <v>46</v>
      </c>
      <c r="D13" s="5" t="str">
        <f>_xlfn.XLOOKUP(E13,LibsTask,LibsPhase)</f>
        <v>Completed</v>
      </c>
      <c r="E13" s="5" t="s">
        <v>26</v>
      </c>
      <c r="G13" s="48" cm="1">
        <f t="array" ref="G13">_xlfn.IFNA(WORKDAY(F13,_xlfn.XLOOKUP(C13,Library!$V$3:$V$5,Library!$W$3:$W$5),_xlfn.VSTACK(ImportantDate!B13:B33,IFERROR(_xlfn._xlws.FILTER(ImportantDate!$F$3:$F$100,ImportantDate!$E$3:$E$100=ResourceAllocation!B13),"1-Jan-2025"))),"")</f>
        <v>101</v>
      </c>
      <c r="H13" s="53">
        <f>_xlfn.XLOOKUP(C13,Library!$V$3:$V$5,Library!$X$3:$X$5)*_xlfn.XLOOKUP(ResourceAllocation!B13,Library!$B$22:$B$26,Library!$F$22:$F$26)</f>
        <v>249375</v>
      </c>
      <c r="I13" s="53">
        <f t="shared" si="1"/>
        <v>83125</v>
      </c>
      <c r="J13" s="48">
        <f t="shared" si="2"/>
        <v>0</v>
      </c>
      <c r="L13" s="49" cm="1">
        <f t="array" ref="L13">_xlfn.XLOOKUP(E13,LibsTask,IF(C13="Low",LowPct,IF(C13="Medium",MediumPct,HighPct)))</f>
        <v>0</v>
      </c>
    </row>
    <row r="14" spans="1:14" x14ac:dyDescent="0.2">
      <c r="A14" s="5" t="s">
        <v>56</v>
      </c>
      <c r="B14" s="5" t="s">
        <v>12</v>
      </c>
      <c r="C14" s="5" t="s">
        <v>46</v>
      </c>
      <c r="D14" s="5" t="str">
        <f>_xlfn.XLOOKUP(E14,LibsTask,LibsPhase)</f>
        <v>Completed</v>
      </c>
      <c r="E14" s="5" t="s">
        <v>26</v>
      </c>
      <c r="G14" s="48" cm="1">
        <f t="array" ref="G14">_xlfn.IFNA(WORKDAY(F14,_xlfn.XLOOKUP(C14,Library!$V$3:$V$5,Library!$W$3:$W$5),_xlfn.VSTACK(ImportantDate!B14:B34,IFERROR(_xlfn._xlws.FILTER(ImportantDate!$F$3:$F$100,ImportantDate!$E$3:$E$100=ResourceAllocation!B14),"1-Jan-2025"))),"")</f>
        <v>101</v>
      </c>
      <c r="H14" s="53">
        <f>_xlfn.XLOOKUP(C14,Library!$V$3:$V$5,Library!$X$3:$X$5)*_xlfn.XLOOKUP(ResourceAllocation!B14,Library!$B$22:$B$26,Library!$F$22:$F$26)</f>
        <v>249375</v>
      </c>
      <c r="I14" s="53">
        <f t="shared" si="1"/>
        <v>83125</v>
      </c>
      <c r="J14" s="48">
        <f t="shared" si="2"/>
        <v>0</v>
      </c>
      <c r="L14" s="49" cm="1">
        <f t="array" ref="L14">_xlfn.XLOOKUP(E14,LibsTask,IF(C14="Low",LowPct,IF(C14="Medium",MediumPct,HighPct)))</f>
        <v>0</v>
      </c>
    </row>
    <row r="15" spans="1:14" x14ac:dyDescent="0.2">
      <c r="A15" s="5" t="s">
        <v>57</v>
      </c>
      <c r="B15" s="5" t="s">
        <v>12</v>
      </c>
      <c r="C15" s="5" t="s">
        <v>52</v>
      </c>
      <c r="D15" s="5" t="str">
        <f>_xlfn.XLOOKUP(E15,LibsTask,LibsPhase)</f>
        <v>Completed</v>
      </c>
      <c r="E15" s="5" t="s">
        <v>26</v>
      </c>
      <c r="G15" s="48" cm="1">
        <f t="array" ref="G15">_xlfn.IFNA(WORKDAY(F15,_xlfn.XLOOKUP(C15,Library!$V$3:$V$5,Library!$W$3:$W$5),_xlfn.VSTACK(ImportantDate!B15:B35,IFERROR(_xlfn._xlws.FILTER(ImportantDate!$F$3:$F$100,ImportantDate!$E$3:$E$100=ResourceAllocation!B15),"1-Jan-2025"))),"")</f>
        <v>38</v>
      </c>
      <c r="H15" s="53">
        <f>_xlfn.XLOOKUP(C15,Library!$V$3:$V$5,Library!$X$3:$X$5)*_xlfn.XLOOKUP(ResourceAllocation!B15,Library!$B$22:$B$26,Library!$F$22:$F$26)</f>
        <v>190312.5</v>
      </c>
      <c r="I15" s="53">
        <f t="shared" si="1"/>
        <v>190312.5</v>
      </c>
      <c r="J15" s="48">
        <f t="shared" si="2"/>
        <v>0</v>
      </c>
      <c r="L15" s="49" cm="1">
        <f t="array" ref="L15">_xlfn.XLOOKUP(E15,LibsTask,IF(C15="Low",LowPct,IF(C15="Medium",MediumPct,HighPct)))</f>
        <v>0</v>
      </c>
      <c r="M15" s="50"/>
    </row>
    <row r="16" spans="1:14" x14ac:dyDescent="0.2">
      <c r="A16" s="5" t="s">
        <v>58</v>
      </c>
      <c r="B16" s="5" t="s">
        <v>9</v>
      </c>
      <c r="C16" s="5" t="s">
        <v>45</v>
      </c>
      <c r="D16" s="5" t="s">
        <v>26</v>
      </c>
      <c r="E16" s="5" t="s">
        <v>26</v>
      </c>
      <c r="F16" s="48">
        <f ca="1">TODAY()</f>
        <v>46029</v>
      </c>
      <c r="G16" s="48" cm="1">
        <f t="array" aca="1" ref="G16" ca="1">_xlfn.IFNA(WORKDAY(F16,_xlfn.XLOOKUP(C16,Library!$V$3:$V$5,Library!$W$3:$W$5),_xlfn.VSTACK(ImportantDate!B16:B36,IFERROR(_xlfn._xlws.FILTER(ImportantDate!$F$3:$F$100,ImportantDate!$E$3:$E$100=ResourceAllocation!B16),"1-Jan-2025"))),"")</f>
        <v>46171</v>
      </c>
      <c r="H16" s="53">
        <f>_xlfn.XLOOKUP(C16,Library!$V$3:$V$5,Library!$X$3:$X$5)*_xlfn.XLOOKUP(ResourceAllocation!B16,Library!$B$22:$B$26,Library!$F$22:$F$26)</f>
        <v>187500</v>
      </c>
      <c r="I16" s="53">
        <f t="shared" ca="1" si="1"/>
        <v>46875</v>
      </c>
      <c r="J16" s="48">
        <f t="shared" ca="1" si="2"/>
        <v>46029</v>
      </c>
      <c r="L16" s="49" cm="1">
        <f t="array" ref="L16">_xlfn.XLOOKUP(E16,LibsTask,IF(C16="Low",LowPct,IF(C16="Medium",MediumPct,HighPct)))</f>
        <v>0</v>
      </c>
    </row>
    <row r="17" spans="1:13" x14ac:dyDescent="0.2">
      <c r="A17" s="5" t="s">
        <v>59</v>
      </c>
      <c r="B17" s="5" t="s">
        <v>9</v>
      </c>
      <c r="C17" s="5" t="s">
        <v>46</v>
      </c>
      <c r="D17" s="5" t="str">
        <f t="shared" si="0"/>
        <v>Completed</v>
      </c>
      <c r="E17" s="5" t="s">
        <v>26</v>
      </c>
      <c r="F17" s="48">
        <f ca="1">TODAY()</f>
        <v>46029</v>
      </c>
      <c r="G17" s="48" cm="1">
        <f t="array" aca="1" ref="G17" ca="1">_xlfn.IFNA(WORKDAY(F17,_xlfn.XLOOKUP(C17,Library!$V$3:$V$5,Library!$W$3:$W$5),_xlfn.VSTACK(ImportantDate!B17:B37,IFERROR(_xlfn._xlws.FILTER(ImportantDate!$F$3:$F$100,ImportantDate!$E$3:$E$100=ResourceAllocation!B17),"1-Jan-2025"))),"")</f>
        <v>46129</v>
      </c>
      <c r="H17" s="53">
        <f>_xlfn.XLOOKUP(C17,Library!$V$3:$V$5,Library!$X$3:$X$5)*_xlfn.XLOOKUP(ResourceAllocation!B17,Library!$B$22:$B$26,Library!$F$22:$F$26)</f>
        <v>118750</v>
      </c>
      <c r="I17" s="53">
        <f t="shared" ca="1" si="1"/>
        <v>39583.333333333336</v>
      </c>
      <c r="J17" s="48">
        <f t="shared" ca="1" si="2"/>
        <v>46029</v>
      </c>
      <c r="L17" s="49" cm="1">
        <f t="array" ref="L17">_xlfn.XLOOKUP(E17,LibsTask,IF(C17="Low",LowPct,IF(C17="Medium",MediumPct,HighPct)))</f>
        <v>0</v>
      </c>
    </row>
    <row r="18" spans="1:13" x14ac:dyDescent="0.2">
      <c r="A18" s="5" t="s">
        <v>60</v>
      </c>
      <c r="B18" s="5" t="s">
        <v>9</v>
      </c>
      <c r="C18" s="5" t="s">
        <v>52</v>
      </c>
      <c r="D18" s="5" t="s">
        <v>26</v>
      </c>
      <c r="E18" s="5" t="s">
        <v>26</v>
      </c>
      <c r="F18" s="48">
        <f ca="1">TODAY()</f>
        <v>46029</v>
      </c>
      <c r="G18" s="48" cm="1">
        <f t="array" aca="1" ref="G18" ca="1">_xlfn.IFNA(WORKDAY(F18,_xlfn.XLOOKUP(C18,Library!$V$3:$V$5,Library!$W$3:$W$5),_xlfn.VSTACK(ImportantDate!B18:B38,IFERROR(_xlfn._xlws.FILTER(ImportantDate!$F$3:$F$100,ImportantDate!$E$3:$E$100=ResourceAllocation!B18),"1-Jan-2025"))),"")</f>
        <v>46066</v>
      </c>
      <c r="H18" s="53">
        <f>_xlfn.XLOOKUP(C18,Library!$V$3:$V$5,Library!$X$3:$X$5)*_xlfn.XLOOKUP(ResourceAllocation!B18,Library!$B$22:$B$26,Library!$F$22:$F$26)</f>
        <v>90625</v>
      </c>
      <c r="I18" s="53">
        <f t="shared" ca="1" si="1"/>
        <v>90625</v>
      </c>
      <c r="J18" s="48">
        <f t="shared" ca="1" si="2"/>
        <v>46029</v>
      </c>
      <c r="L18" s="49" cm="1">
        <f t="array" ref="L18">_xlfn.XLOOKUP(E18,LibsTask,IF(C18="Low",LowPct,IF(C18="Medium",MediumPct,HighPct)))</f>
        <v>0</v>
      </c>
    </row>
    <row r="19" spans="1:13" x14ac:dyDescent="0.2">
      <c r="A19" s="5" t="s">
        <v>61</v>
      </c>
      <c r="B19" s="5" t="s">
        <v>9</v>
      </c>
      <c r="C19" s="5" t="s">
        <v>46</v>
      </c>
      <c r="D19" s="5" t="str">
        <f t="shared" si="0"/>
        <v>Completed</v>
      </c>
      <c r="E19" s="5" t="s">
        <v>26</v>
      </c>
      <c r="F19" s="48">
        <f ca="1">TODAY()</f>
        <v>46029</v>
      </c>
      <c r="G19" s="48" cm="1">
        <f t="array" aca="1" ref="G19" ca="1">_xlfn.IFNA(WORKDAY(F19,_xlfn.XLOOKUP(C19,Library!$V$3:$V$5,Library!$W$3:$W$5),_xlfn.VSTACK(ImportantDate!B19:B39,IFERROR(_xlfn._xlws.FILTER(ImportantDate!$F$3:$F$100,ImportantDate!$E$3:$E$100=ResourceAllocation!B19),"1-Jan-2025"))),"")</f>
        <v>46129</v>
      </c>
      <c r="H19" s="53">
        <f>_xlfn.XLOOKUP(C19,Library!$V$3:$V$5,Library!$X$3:$X$5)*_xlfn.XLOOKUP(ResourceAllocation!B19,Library!$B$22:$B$26,Library!$F$22:$F$26)</f>
        <v>118750</v>
      </c>
      <c r="I19" s="53">
        <f t="shared" ca="1" si="1"/>
        <v>39583.333333333336</v>
      </c>
      <c r="J19" s="48">
        <f t="shared" ca="1" si="2"/>
        <v>46029</v>
      </c>
      <c r="L19" s="49" cm="1">
        <f t="array" ref="L19">_xlfn.XLOOKUP(E19,LibsTask,IF(C19="Low",LowPct,IF(C19="Medium",MediumPct,HighPct)))</f>
        <v>0</v>
      </c>
    </row>
    <row r="20" spans="1:13" x14ac:dyDescent="0.2">
      <c r="A20" s="5" t="s">
        <v>62</v>
      </c>
      <c r="B20" s="5" t="s">
        <v>9</v>
      </c>
      <c r="C20" s="5" t="s">
        <v>52</v>
      </c>
      <c r="D20" s="5" t="str">
        <f>_xlfn.XLOOKUP(E20,LibsTask,LibsPhase)</f>
        <v>Completed</v>
      </c>
      <c r="E20" s="5" t="s">
        <v>26</v>
      </c>
      <c r="F20" s="48">
        <v>45766</v>
      </c>
      <c r="G20" s="48" cm="1">
        <f t="array" ref="G20">_xlfn.IFNA(WORKDAY(F20,_xlfn.XLOOKUP(C20,Library!$V$3:$V$5,Library!$W$3:$W$5),_xlfn.VSTACK(ImportantDate!B20:B40,IFERROR(_xlfn._xlws.FILTER(ImportantDate!$F$3:$F$100,ImportantDate!$E$3:$E$100=ResourceAllocation!B20),"1-Jan-2025"))),"")</f>
        <v>45804</v>
      </c>
      <c r="H20" s="53">
        <f>_xlfn.XLOOKUP(C20,Library!$V$3:$V$5,Library!$X$3:$X$5)*_xlfn.XLOOKUP(ResourceAllocation!B20,Library!$B$22:$B$26,Library!$F$22:$F$26)</f>
        <v>90625</v>
      </c>
      <c r="I20" s="53">
        <f t="shared" si="1"/>
        <v>90625</v>
      </c>
      <c r="J20" s="48">
        <f>F20</f>
        <v>45766</v>
      </c>
      <c r="K20" s="48">
        <v>45830</v>
      </c>
      <c r="L20" s="49" cm="1">
        <f t="array" ref="L20">_xlfn.XLOOKUP(E20,LibsTask,IF(C20="Low",LowPct,IF(C20="Medium",MediumPct,HighPct)))</f>
        <v>0</v>
      </c>
      <c r="M20" s="50"/>
    </row>
    <row r="21" spans="1:13" x14ac:dyDescent="0.2">
      <c r="A21" s="5" t="s">
        <v>63</v>
      </c>
      <c r="B21" s="5" t="s">
        <v>9</v>
      </c>
      <c r="C21" s="5" t="s">
        <v>46</v>
      </c>
      <c r="D21" s="5" t="str">
        <f t="shared" si="0"/>
        <v>Completed</v>
      </c>
      <c r="E21" s="5" t="s">
        <v>26</v>
      </c>
      <c r="F21" s="48">
        <v>45894</v>
      </c>
      <c r="G21" s="48" cm="1">
        <f t="array" ref="G21">_xlfn.IFNA(WORKDAY(F21,_xlfn.XLOOKUP(C21,Library!$V$3:$V$5,Library!$W$3:$W$5),_xlfn.VSTACK(ImportantDate!B21:B41,IFERROR(_xlfn._xlws.FILTER(ImportantDate!$F$3:$F$100,ImportantDate!$E$3:$E$100=ResourceAllocation!B21),"1-Jan-2025"))),"")</f>
        <v>45995</v>
      </c>
      <c r="H21" s="53">
        <f>_xlfn.XLOOKUP(C21,Library!$V$3:$V$5,Library!$X$3:$X$5)*_xlfn.XLOOKUP(ResourceAllocation!B21,Library!$B$22:$B$26,Library!$F$22:$F$26)</f>
        <v>118750</v>
      </c>
      <c r="I21" s="53">
        <f t="shared" si="1"/>
        <v>39583.333333333336</v>
      </c>
      <c r="J21" s="48">
        <f t="shared" si="2"/>
        <v>45894</v>
      </c>
      <c r="L21" s="49" cm="1">
        <f t="array" ref="L21">_xlfn.XLOOKUP(E21,LibsTask,IF(C21="Low",LowPct,IF(C21="Medium",MediumPct,HighPct)))</f>
        <v>0</v>
      </c>
    </row>
    <row r="22" spans="1:13" x14ac:dyDescent="0.2">
      <c r="A22" s="5" t="s">
        <v>64</v>
      </c>
      <c r="B22" s="5" t="s">
        <v>13</v>
      </c>
      <c r="C22" s="5" t="s">
        <v>46</v>
      </c>
      <c r="D22" s="5" t="str">
        <f t="shared" si="0"/>
        <v>Completed</v>
      </c>
      <c r="E22" s="5" t="s">
        <v>26</v>
      </c>
      <c r="G22" s="48" cm="1">
        <f t="array" ref="G22">_xlfn.IFNA(WORKDAY(F22,_xlfn.XLOOKUP(C22,Library!$V$3:$V$5,Library!$W$3:$W$5),_xlfn.VSTACK(ImportantDate!B22:B42,IFERROR(_xlfn._xlws.FILTER(ImportantDate!$F$3:$F$100,ImportantDate!$E$3:$E$100=ResourceAllocation!B22),"1-Jan-2025"))),"")</f>
        <v>101</v>
      </c>
      <c r="H22" s="53">
        <f>_xlfn.XLOOKUP(C22,Library!$V$3:$V$5,Library!$X$3:$X$5)*_xlfn.XLOOKUP(ResourceAllocation!B22,Library!$B$22:$B$26,Library!$F$22:$F$26)</f>
        <v>225625</v>
      </c>
      <c r="I22" s="53">
        <f t="shared" si="1"/>
        <v>75208.333333333328</v>
      </c>
      <c r="J22" s="48">
        <f t="shared" si="2"/>
        <v>0</v>
      </c>
      <c r="L22" s="49" cm="1">
        <f t="array" ref="L22">_xlfn.XLOOKUP(E22,LibsTask,IF(C22="Low",LowPct,IF(C22="Medium",MediumPct,HighPct)))</f>
        <v>0</v>
      </c>
    </row>
    <row r="23" spans="1:13" x14ac:dyDescent="0.2">
      <c r="A23" s="5" t="s">
        <v>65</v>
      </c>
      <c r="B23" s="5" t="s">
        <v>13</v>
      </c>
      <c r="C23" s="5" t="s">
        <v>52</v>
      </c>
      <c r="D23" s="5" t="s">
        <v>66</v>
      </c>
      <c r="E23" s="5" t="s">
        <v>26</v>
      </c>
      <c r="G23" s="48" cm="1">
        <f t="array" ref="G23">_xlfn.IFNA(WORKDAY(F23,_xlfn.XLOOKUP(C23,Library!$V$3:$V$5,Library!$W$3:$W$5),_xlfn.VSTACK(ImportantDate!B23:B43,IFERROR(_xlfn._xlws.FILTER(ImportantDate!$F$3:$F$100,ImportantDate!$E$3:$E$100=ResourceAllocation!B23),"1-Jan-2025"))),"")</f>
        <v>38</v>
      </c>
      <c r="H23" s="53">
        <f>_xlfn.XLOOKUP(C23,Library!$V$3:$V$5,Library!$X$3:$X$5)*_xlfn.XLOOKUP(ResourceAllocation!B23,Library!$B$22:$B$26,Library!$F$22:$F$26)</f>
        <v>172187.5</v>
      </c>
      <c r="I23" s="53">
        <f t="shared" si="1"/>
        <v>172187.5</v>
      </c>
      <c r="J23" s="48">
        <f t="shared" si="2"/>
        <v>0</v>
      </c>
      <c r="L23" s="49" cm="1">
        <f t="array" ref="L23">_xlfn.XLOOKUP(E23,LibsTask,IF(C23="Low",LowPct,IF(C23="Medium",MediumPct,HighPct)))</f>
        <v>0</v>
      </c>
      <c r="M23" s="50"/>
    </row>
    <row r="24" spans="1:13" x14ac:dyDescent="0.2">
      <c r="A24" s="5" t="s">
        <v>67</v>
      </c>
      <c r="B24" s="5" t="s">
        <v>12</v>
      </c>
      <c r="C24" s="5" t="s">
        <v>45</v>
      </c>
      <c r="D24" s="5" t="str">
        <f>_xlfn.XLOOKUP(E24,LibsTask,LibsPhase)</f>
        <v>Completed</v>
      </c>
      <c r="E24" s="5" t="s">
        <v>26</v>
      </c>
      <c r="F24" s="48">
        <v>45839</v>
      </c>
      <c r="G24" s="48">
        <v>45930</v>
      </c>
      <c r="H24" s="53">
        <f>_xlfn.XLOOKUP(C24,Library!$V$3:$V$5,Library!$X$3:$X$5)*_xlfn.XLOOKUP(ResourceAllocation!B24,Library!$B$22:$B$26,Library!$F$22:$F$26)</f>
        <v>393750</v>
      </c>
      <c r="I24" s="53">
        <f>H24/DATEDIF(F24,G24,"m")</f>
        <v>196875</v>
      </c>
      <c r="J24" s="48">
        <v>45839</v>
      </c>
      <c r="K24" s="48">
        <v>45930</v>
      </c>
      <c r="L24" s="49" cm="1">
        <f t="array" ref="L24">_xlfn.XLOOKUP(E24,LibsTask,IF(C24="Low",LowPct,IF(C24="Medium",MediumPct,HighPct)))</f>
        <v>0</v>
      </c>
    </row>
  </sheetData>
  <autoFilter ref="A2:N24" xr:uid="{272B286C-4736-4578-BF2E-D0E05BC40BBB}"/>
  <mergeCells count="8">
    <mergeCell ref="L1:L2"/>
    <mergeCell ref="J1:K1"/>
    <mergeCell ref="A1:A2"/>
    <mergeCell ref="B1:B2"/>
    <mergeCell ref="C1:C2"/>
    <mergeCell ref="D1:D2"/>
    <mergeCell ref="E1:E2"/>
    <mergeCell ref="F1:I1"/>
  </mergeCells>
  <dataValidations count="3">
    <dataValidation type="list" allowBlank="1" showInputMessage="1" showErrorMessage="1" sqref="B3:B23" xr:uid="{43312F78-CDE7-47F6-A822-DD392FEDD28F}">
      <formula1>Resources</formula1>
    </dataValidation>
    <dataValidation type="list" allowBlank="1" showInputMessage="1" showErrorMessage="1" sqref="E3:E24" xr:uid="{F12D11BB-EF42-4F14-9985-5486D5CA79D4}">
      <formula1>LibsTask</formula1>
    </dataValidation>
    <dataValidation type="list" allowBlank="1" showInputMessage="1" showErrorMessage="1" sqref="C3:C24" xr:uid="{3FF7969C-84F1-4A2E-97AE-E1BF2C08EC73}">
      <formula1>"Low, Medium, High"</formula1>
    </dataValidation>
  </dataValidations>
  <pageMargins left="0.7" right="0.7" top="0.75" bottom="0.75" header="0.3" footer="0.3"/>
  <headerFooter>
    <oddFooter>&amp;C_x000D_&amp;1#&amp;"Calibri"&amp;10&amp;K000000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B6062-94E4-4379-AD63-B8D9159F5137}">
  <dimension ref="B1:I23"/>
  <sheetViews>
    <sheetView workbookViewId="0">
      <selection activeCell="E4" sqref="E4"/>
    </sheetView>
  </sheetViews>
  <sheetFormatPr baseColWidth="10" defaultColWidth="8.83203125" defaultRowHeight="15" x14ac:dyDescent="0.2"/>
  <cols>
    <col min="2" max="2" width="18.33203125" customWidth="1"/>
    <col min="3" max="3" width="28.6640625" bestFit="1" customWidth="1"/>
    <col min="5" max="11" width="16.6640625" customWidth="1"/>
  </cols>
  <sheetData>
    <row r="1" spans="2:9" x14ac:dyDescent="0.2">
      <c r="B1" s="67" t="s">
        <v>68</v>
      </c>
      <c r="C1" s="67"/>
      <c r="E1" s="66" t="s">
        <v>69</v>
      </c>
      <c r="F1" s="66"/>
    </row>
    <row r="2" spans="2:9" x14ac:dyDescent="0.2">
      <c r="B2" s="67"/>
      <c r="C2" s="67"/>
      <c r="E2" t="s">
        <v>0</v>
      </c>
      <c r="F2" t="s">
        <v>70</v>
      </c>
      <c r="H2" s="1">
        <v>45658</v>
      </c>
      <c r="I2">
        <f>NETWORKDAYS(H2,H3,B3:B23)</f>
        <v>244</v>
      </c>
    </row>
    <row r="3" spans="2:9" ht="16" x14ac:dyDescent="0.2">
      <c r="B3" s="11">
        <v>45658</v>
      </c>
      <c r="C3" s="3" t="s">
        <v>71</v>
      </c>
      <c r="E3" t="s">
        <v>9</v>
      </c>
      <c r="F3" s="1">
        <v>45736</v>
      </c>
      <c r="H3" s="1">
        <v>46022</v>
      </c>
    </row>
    <row r="4" spans="2:9" ht="16" x14ac:dyDescent="0.2">
      <c r="B4" s="11">
        <v>45684</v>
      </c>
      <c r="C4" s="3" t="s">
        <v>72</v>
      </c>
      <c r="E4" t="s">
        <v>73</v>
      </c>
      <c r="F4" s="1"/>
    </row>
    <row r="5" spans="2:9" ht="16" x14ac:dyDescent="0.2">
      <c r="B5" s="11">
        <v>45686</v>
      </c>
      <c r="C5" s="3" t="s">
        <v>74</v>
      </c>
    </row>
    <row r="6" spans="2:9" ht="16" x14ac:dyDescent="0.2">
      <c r="B6" s="11">
        <v>45745</v>
      </c>
      <c r="C6" s="3" t="s">
        <v>75</v>
      </c>
    </row>
    <row r="7" spans="2:9" ht="16" x14ac:dyDescent="0.2">
      <c r="B7" s="1">
        <v>45747</v>
      </c>
      <c r="C7" s="3" t="s">
        <v>76</v>
      </c>
    </row>
    <row r="8" spans="2:9" ht="16" x14ac:dyDescent="0.2">
      <c r="B8" s="1">
        <v>45748</v>
      </c>
      <c r="C8" s="3" t="s">
        <v>76</v>
      </c>
    </row>
    <row r="9" spans="2:9" ht="16" x14ac:dyDescent="0.2">
      <c r="B9" s="1">
        <v>45749</v>
      </c>
      <c r="C9" s="3" t="s">
        <v>77</v>
      </c>
    </row>
    <row r="10" spans="2:9" ht="16" x14ac:dyDescent="0.2">
      <c r="B10" s="1">
        <v>45750</v>
      </c>
      <c r="C10" s="3" t="s">
        <v>77</v>
      </c>
    </row>
    <row r="11" spans="2:9" ht="16" x14ac:dyDescent="0.2">
      <c r="B11" s="1">
        <v>45751</v>
      </c>
      <c r="C11" s="3" t="s">
        <v>77</v>
      </c>
    </row>
    <row r="12" spans="2:9" ht="16" x14ac:dyDescent="0.2">
      <c r="B12" s="1">
        <v>45754</v>
      </c>
      <c r="C12" s="3" t="s">
        <v>77</v>
      </c>
    </row>
    <row r="13" spans="2:9" ht="16" x14ac:dyDescent="0.2">
      <c r="B13" s="11">
        <v>45765</v>
      </c>
      <c r="C13" s="3" t="s">
        <v>78</v>
      </c>
    </row>
    <row r="14" spans="2:9" ht="16" x14ac:dyDescent="0.2">
      <c r="B14" s="11">
        <v>45767</v>
      </c>
      <c r="C14" s="3" t="s">
        <v>79</v>
      </c>
    </row>
    <row r="15" spans="2:9" ht="16" x14ac:dyDescent="0.2">
      <c r="B15" s="11">
        <v>45778</v>
      </c>
      <c r="C15" s="3" t="s">
        <v>80</v>
      </c>
    </row>
    <row r="16" spans="2:9" ht="16" x14ac:dyDescent="0.2">
      <c r="B16" s="11">
        <v>45789</v>
      </c>
      <c r="C16" s="3" t="s">
        <v>81</v>
      </c>
    </row>
    <row r="17" spans="2:3" ht="16" x14ac:dyDescent="0.2">
      <c r="B17" s="11">
        <v>45806</v>
      </c>
      <c r="C17" s="3" t="s">
        <v>82</v>
      </c>
    </row>
    <row r="18" spans="2:3" ht="16" x14ac:dyDescent="0.2">
      <c r="B18" s="11">
        <v>45809</v>
      </c>
      <c r="C18" s="3" t="s">
        <v>83</v>
      </c>
    </row>
    <row r="19" spans="2:3" ht="16" x14ac:dyDescent="0.2">
      <c r="B19" s="11">
        <v>45814</v>
      </c>
      <c r="C19" s="3" t="s">
        <v>84</v>
      </c>
    </row>
    <row r="20" spans="2:3" ht="16" x14ac:dyDescent="0.2">
      <c r="B20" s="11">
        <v>45835</v>
      </c>
      <c r="C20" s="3" t="s">
        <v>85</v>
      </c>
    </row>
    <row r="21" spans="2:3" ht="16" x14ac:dyDescent="0.2">
      <c r="B21" s="11">
        <v>45886</v>
      </c>
      <c r="C21" s="3" t="s">
        <v>86</v>
      </c>
    </row>
    <row r="22" spans="2:3" ht="16" x14ac:dyDescent="0.2">
      <c r="B22" s="11">
        <v>45905</v>
      </c>
      <c r="C22" s="3" t="s">
        <v>87</v>
      </c>
    </row>
    <row r="23" spans="2:3" ht="16" x14ac:dyDescent="0.2">
      <c r="B23" s="11">
        <v>46016</v>
      </c>
      <c r="C23" s="3" t="s">
        <v>88</v>
      </c>
    </row>
  </sheetData>
  <mergeCells count="2">
    <mergeCell ref="E1:F1"/>
    <mergeCell ref="B1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5A842-FCBD-4157-8F1B-0B7B36FFF9E9}">
  <dimension ref="B1:Z36"/>
  <sheetViews>
    <sheetView topLeftCell="B1" workbookViewId="0">
      <selection activeCell="Q1" sqref="Q1:S1"/>
    </sheetView>
  </sheetViews>
  <sheetFormatPr baseColWidth="10" defaultColWidth="12.6640625" defaultRowHeight="15" x14ac:dyDescent="0.2"/>
  <cols>
    <col min="1" max="1" width="3.5" customWidth="1"/>
    <col min="2" max="2" width="17.6640625" customWidth="1"/>
    <col min="3" max="3" width="14.5" bestFit="1" customWidth="1"/>
    <col min="4" max="4" width="4.6640625" bestFit="1" customWidth="1"/>
    <col min="5" max="5" width="16.33203125" bestFit="1" customWidth="1"/>
    <col min="6" max="6" width="12.33203125" bestFit="1" customWidth="1"/>
    <col min="7" max="7" width="3.5" bestFit="1" customWidth="1"/>
    <col min="8" max="8" width="28.6640625" bestFit="1" customWidth="1"/>
    <col min="9" max="9" width="7" bestFit="1" customWidth="1"/>
    <col min="10" max="10" width="25.6640625" bestFit="1" customWidth="1"/>
    <col min="11" max="11" width="14.33203125" bestFit="1" customWidth="1"/>
    <col min="12" max="12" width="13.33203125" customWidth="1"/>
    <col min="13" max="13" width="10.6640625" customWidth="1"/>
  </cols>
  <sheetData>
    <row r="1" spans="2:26" x14ac:dyDescent="0.2">
      <c r="K1" s="68" t="s">
        <v>52</v>
      </c>
      <c r="L1" s="69"/>
      <c r="M1" s="70"/>
      <c r="N1" s="68" t="s">
        <v>46</v>
      </c>
      <c r="O1" s="69"/>
      <c r="P1" s="70"/>
      <c r="Q1" s="68" t="s">
        <v>45</v>
      </c>
      <c r="R1" s="69"/>
      <c r="S1" s="70"/>
      <c r="T1" s="23"/>
    </row>
    <row r="2" spans="2:26" ht="32" x14ac:dyDescent="0.2">
      <c r="B2" s="4" t="s">
        <v>89</v>
      </c>
      <c r="C2" s="4" t="s">
        <v>90</v>
      </c>
      <c r="D2" s="4" t="s">
        <v>91</v>
      </c>
      <c r="E2" s="4" t="s">
        <v>92</v>
      </c>
      <c r="G2" t="s">
        <v>93</v>
      </c>
      <c r="H2" s="2" t="s">
        <v>34</v>
      </c>
      <c r="I2" s="2" t="s">
        <v>94</v>
      </c>
      <c r="J2" s="2" t="s">
        <v>6</v>
      </c>
      <c r="K2" s="7" t="s">
        <v>95</v>
      </c>
      <c r="L2" s="2" t="s">
        <v>96</v>
      </c>
      <c r="M2" s="8" t="s">
        <v>97</v>
      </c>
      <c r="N2" s="7" t="s">
        <v>95</v>
      </c>
      <c r="O2" s="2" t="s">
        <v>96</v>
      </c>
      <c r="P2" s="8" t="s">
        <v>97</v>
      </c>
      <c r="Q2" s="7" t="s">
        <v>95</v>
      </c>
      <c r="R2" s="2" t="s">
        <v>96</v>
      </c>
      <c r="S2" s="8" t="s">
        <v>97</v>
      </c>
      <c r="T2" s="2"/>
      <c r="V2" s="2"/>
      <c r="W2" s="2" t="s">
        <v>98</v>
      </c>
      <c r="X2" t="s">
        <v>99</v>
      </c>
      <c r="Y2" t="s">
        <v>100</v>
      </c>
      <c r="Z2" t="s">
        <v>101</v>
      </c>
    </row>
    <row r="3" spans="2:26" ht="16" x14ac:dyDescent="0.2">
      <c r="B3" t="s">
        <v>102</v>
      </c>
      <c r="C3" t="s">
        <v>9</v>
      </c>
      <c r="D3" t="s">
        <v>99</v>
      </c>
      <c r="E3">
        <v>40</v>
      </c>
      <c r="G3">
        <v>1</v>
      </c>
      <c r="H3" s="3" t="s">
        <v>103</v>
      </c>
      <c r="I3" s="3" t="s">
        <v>104</v>
      </c>
      <c r="J3" s="3" t="s">
        <v>16</v>
      </c>
      <c r="K3" s="9">
        <v>2</v>
      </c>
      <c r="L3" s="5">
        <v>1</v>
      </c>
      <c r="M3" s="24">
        <f>L3/8</f>
        <v>0.125</v>
      </c>
      <c r="N3" s="9">
        <v>5</v>
      </c>
      <c r="O3" s="5">
        <v>2</v>
      </c>
      <c r="P3" s="24">
        <f>O3/8</f>
        <v>0.25</v>
      </c>
      <c r="Q3" s="9">
        <v>10</v>
      </c>
      <c r="R3" s="5">
        <v>4</v>
      </c>
      <c r="S3" s="24">
        <f>R3/8</f>
        <v>0.5</v>
      </c>
      <c r="T3" s="47"/>
      <c r="V3" t="s">
        <v>52</v>
      </c>
      <c r="W3">
        <f>K15</f>
        <v>27</v>
      </c>
      <c r="X3">
        <f>L15</f>
        <v>14.5</v>
      </c>
    </row>
    <row r="4" spans="2:26" ht="16" x14ac:dyDescent="0.2">
      <c r="B4" t="s">
        <v>105</v>
      </c>
      <c r="C4" t="s">
        <v>10</v>
      </c>
      <c r="D4" t="s">
        <v>99</v>
      </c>
      <c r="E4">
        <v>40</v>
      </c>
      <c r="H4" s="3" t="s">
        <v>103</v>
      </c>
      <c r="I4" s="3" t="s">
        <v>106</v>
      </c>
      <c r="J4" s="3" t="s">
        <v>17</v>
      </c>
      <c r="K4" s="9">
        <v>2</v>
      </c>
      <c r="L4" s="5">
        <v>2</v>
      </c>
      <c r="M4" s="24">
        <f t="shared" ref="M4:M8" si="0">L4/8</f>
        <v>0.25</v>
      </c>
      <c r="N4" s="9">
        <v>5</v>
      </c>
      <c r="O4" s="5">
        <v>3</v>
      </c>
      <c r="P4" s="24">
        <f t="shared" ref="P4:P8" si="1">O4/8</f>
        <v>0.375</v>
      </c>
      <c r="Q4" s="9">
        <v>10</v>
      </c>
      <c r="R4" s="5">
        <v>4</v>
      </c>
      <c r="S4" s="24">
        <f t="shared" ref="S4:S8" si="2">R4/8</f>
        <v>0.5</v>
      </c>
      <c r="T4" s="47"/>
      <c r="V4" t="s">
        <v>107</v>
      </c>
      <c r="W4">
        <f>N15</f>
        <v>72</v>
      </c>
      <c r="X4">
        <f>O15</f>
        <v>19</v>
      </c>
    </row>
    <row r="5" spans="2:26" ht="16" x14ac:dyDescent="0.2">
      <c r="B5" t="s">
        <v>108</v>
      </c>
      <c r="C5" t="s">
        <v>44</v>
      </c>
      <c r="D5" t="s">
        <v>99</v>
      </c>
      <c r="E5">
        <v>40</v>
      </c>
      <c r="G5">
        <v>2</v>
      </c>
      <c r="H5" s="3" t="s">
        <v>109</v>
      </c>
      <c r="I5" s="3" t="s">
        <v>110</v>
      </c>
      <c r="J5" s="3" t="s">
        <v>18</v>
      </c>
      <c r="K5" s="9">
        <v>3</v>
      </c>
      <c r="L5" s="5">
        <v>1</v>
      </c>
      <c r="M5" s="24">
        <f t="shared" si="0"/>
        <v>0.125</v>
      </c>
      <c r="N5" s="9">
        <v>7</v>
      </c>
      <c r="O5" s="5">
        <v>2</v>
      </c>
      <c r="P5" s="24">
        <f t="shared" si="1"/>
        <v>0.25</v>
      </c>
      <c r="Q5" s="9">
        <v>7</v>
      </c>
      <c r="R5" s="5">
        <v>3</v>
      </c>
      <c r="S5" s="24">
        <f t="shared" si="2"/>
        <v>0.375</v>
      </c>
      <c r="T5" s="47"/>
      <c r="V5" t="s">
        <v>45</v>
      </c>
      <c r="W5">
        <f>Q15</f>
        <v>102</v>
      </c>
      <c r="X5">
        <f>R15</f>
        <v>30</v>
      </c>
    </row>
    <row r="6" spans="2:26" ht="16" x14ac:dyDescent="0.2">
      <c r="B6" t="s">
        <v>111</v>
      </c>
      <c r="C6" t="s">
        <v>12</v>
      </c>
      <c r="D6" t="s">
        <v>99</v>
      </c>
      <c r="E6">
        <v>40</v>
      </c>
      <c r="H6" s="3" t="s">
        <v>109</v>
      </c>
      <c r="I6" s="3" t="s">
        <v>112</v>
      </c>
      <c r="J6" s="3" t="s">
        <v>113</v>
      </c>
      <c r="K6" s="9">
        <v>1</v>
      </c>
      <c r="L6" s="5">
        <v>1</v>
      </c>
      <c r="M6" s="24">
        <f t="shared" si="0"/>
        <v>0.125</v>
      </c>
      <c r="N6" s="9">
        <v>5</v>
      </c>
      <c r="O6" s="5">
        <v>1</v>
      </c>
      <c r="P6" s="24">
        <f t="shared" si="1"/>
        <v>0.125</v>
      </c>
      <c r="Q6" s="9">
        <v>7</v>
      </c>
      <c r="R6" s="5">
        <v>2</v>
      </c>
      <c r="S6" s="24">
        <f t="shared" si="2"/>
        <v>0.25</v>
      </c>
      <c r="T6" s="47"/>
    </row>
    <row r="7" spans="2:26" ht="16" x14ac:dyDescent="0.2">
      <c r="B7" t="s">
        <v>114</v>
      </c>
      <c r="C7" t="s">
        <v>13</v>
      </c>
      <c r="D7" t="s">
        <v>99</v>
      </c>
      <c r="E7">
        <v>40</v>
      </c>
      <c r="G7">
        <v>3</v>
      </c>
      <c r="H7" s="3" t="s">
        <v>115</v>
      </c>
      <c r="I7" s="3" t="s">
        <v>116</v>
      </c>
      <c r="J7" s="3" t="s">
        <v>20</v>
      </c>
      <c r="K7" s="9">
        <v>2</v>
      </c>
      <c r="L7" s="5">
        <v>2</v>
      </c>
      <c r="M7" s="24">
        <f t="shared" si="0"/>
        <v>0.25</v>
      </c>
      <c r="N7" s="9">
        <v>3</v>
      </c>
      <c r="O7" s="5">
        <v>2</v>
      </c>
      <c r="P7" s="24">
        <f t="shared" si="1"/>
        <v>0.25</v>
      </c>
      <c r="Q7" s="9">
        <v>5</v>
      </c>
      <c r="R7" s="5">
        <v>4</v>
      </c>
      <c r="S7" s="24">
        <f t="shared" si="2"/>
        <v>0.5</v>
      </c>
      <c r="T7" s="47"/>
    </row>
    <row r="8" spans="2:26" ht="32" x14ac:dyDescent="0.2">
      <c r="B8" t="s">
        <v>117</v>
      </c>
      <c r="C8" t="s">
        <v>14</v>
      </c>
      <c r="D8" t="s">
        <v>100</v>
      </c>
      <c r="E8">
        <v>40</v>
      </c>
      <c r="H8" s="3" t="s">
        <v>115</v>
      </c>
      <c r="I8" s="3" t="s">
        <v>118</v>
      </c>
      <c r="J8" s="3" t="s">
        <v>21</v>
      </c>
      <c r="K8" s="9">
        <v>10</v>
      </c>
      <c r="L8" s="5">
        <v>1</v>
      </c>
      <c r="M8" s="24">
        <f t="shared" si="0"/>
        <v>0.125</v>
      </c>
      <c r="N8" s="9">
        <v>20</v>
      </c>
      <c r="O8" s="5">
        <v>1</v>
      </c>
      <c r="P8" s="24">
        <f t="shared" si="1"/>
        <v>0.125</v>
      </c>
      <c r="Q8" s="9">
        <v>30</v>
      </c>
      <c r="R8" s="5">
        <v>4</v>
      </c>
      <c r="S8" s="24">
        <f t="shared" si="2"/>
        <v>0.5</v>
      </c>
      <c r="T8" s="47"/>
    </row>
    <row r="9" spans="2:26" ht="16" x14ac:dyDescent="0.2">
      <c r="B9" t="s">
        <v>119</v>
      </c>
      <c r="C9" t="s">
        <v>15</v>
      </c>
      <c r="D9" t="s">
        <v>100</v>
      </c>
      <c r="E9">
        <v>40</v>
      </c>
      <c r="G9">
        <v>4</v>
      </c>
      <c r="H9" s="3" t="s">
        <v>120</v>
      </c>
      <c r="I9" s="3" t="s">
        <v>121</v>
      </c>
      <c r="J9" s="3" t="s">
        <v>22</v>
      </c>
      <c r="K9" s="9">
        <v>2</v>
      </c>
      <c r="L9" s="5">
        <v>2</v>
      </c>
      <c r="M9" s="24">
        <f t="shared" ref="M9:M14" si="3">L9/8</f>
        <v>0.25</v>
      </c>
      <c r="N9" s="9">
        <v>5</v>
      </c>
      <c r="O9" s="5">
        <v>2</v>
      </c>
      <c r="P9" s="24">
        <f>O9/8</f>
        <v>0.25</v>
      </c>
      <c r="Q9" s="9">
        <v>8</v>
      </c>
      <c r="R9" s="5">
        <v>3</v>
      </c>
      <c r="S9" s="24">
        <f>R9/8</f>
        <v>0.375</v>
      </c>
      <c r="T9" s="47"/>
    </row>
    <row r="10" spans="2:26" ht="16" x14ac:dyDescent="0.2">
      <c r="H10" s="3"/>
      <c r="I10" s="3" t="s">
        <v>122</v>
      </c>
      <c r="J10" s="3" t="s">
        <v>23</v>
      </c>
      <c r="K10" s="9">
        <v>2</v>
      </c>
      <c r="L10" s="5">
        <v>3</v>
      </c>
      <c r="M10" s="24">
        <f t="shared" si="3"/>
        <v>0.375</v>
      </c>
      <c r="N10" s="9">
        <v>5</v>
      </c>
      <c r="O10" s="5">
        <v>3</v>
      </c>
      <c r="P10" s="24">
        <f>O10/8</f>
        <v>0.375</v>
      </c>
      <c r="Q10" s="9">
        <v>8</v>
      </c>
      <c r="R10" s="5">
        <v>3</v>
      </c>
      <c r="S10" s="24">
        <f>R10/8</f>
        <v>0.375</v>
      </c>
      <c r="T10" s="47"/>
    </row>
    <row r="11" spans="2:26" ht="16" x14ac:dyDescent="0.2">
      <c r="G11">
        <v>5</v>
      </c>
      <c r="H11" s="3" t="s">
        <v>123</v>
      </c>
      <c r="I11" s="3" t="s">
        <v>124</v>
      </c>
      <c r="J11" s="3" t="s">
        <v>24</v>
      </c>
      <c r="K11" s="9">
        <v>2</v>
      </c>
      <c r="L11" s="5">
        <v>1</v>
      </c>
      <c r="M11" s="24">
        <f t="shared" si="3"/>
        <v>0.125</v>
      </c>
      <c r="N11" s="9">
        <v>2</v>
      </c>
      <c r="O11" s="5">
        <v>2</v>
      </c>
      <c r="P11" s="24">
        <f>O11/8</f>
        <v>0.25</v>
      </c>
      <c r="Q11" s="9">
        <v>2</v>
      </c>
      <c r="R11" s="5">
        <v>2</v>
      </c>
      <c r="S11" s="24">
        <f>R11/8</f>
        <v>0.25</v>
      </c>
      <c r="T11" s="47"/>
    </row>
    <row r="12" spans="2:26" ht="17" thickBot="1" x14ac:dyDescent="0.25">
      <c r="G12">
        <v>6</v>
      </c>
      <c r="H12" s="3" t="s">
        <v>125</v>
      </c>
      <c r="J12" s="3" t="s">
        <v>25</v>
      </c>
      <c r="K12" s="10">
        <v>1</v>
      </c>
      <c r="L12" s="25">
        <v>0.5</v>
      </c>
      <c r="M12" s="26">
        <f t="shared" si="3"/>
        <v>6.25E-2</v>
      </c>
      <c r="N12" s="10">
        <v>15</v>
      </c>
      <c r="O12" s="25">
        <v>1</v>
      </c>
      <c r="P12" s="26">
        <f>O12/8</f>
        <v>0.125</v>
      </c>
      <c r="Q12" s="10">
        <v>15</v>
      </c>
      <c r="R12" s="25">
        <v>1</v>
      </c>
      <c r="S12" s="26">
        <f>R12/8</f>
        <v>0.125</v>
      </c>
      <c r="T12" s="47"/>
    </row>
    <row r="13" spans="2:26" ht="16" x14ac:dyDescent="0.2">
      <c r="G13">
        <v>7</v>
      </c>
      <c r="H13" s="3" t="s">
        <v>27</v>
      </c>
      <c r="J13" s="3" t="s">
        <v>27</v>
      </c>
      <c r="K13" s="9">
        <v>0</v>
      </c>
      <c r="L13" s="5">
        <v>0</v>
      </c>
      <c r="M13" s="24">
        <f t="shared" si="3"/>
        <v>0</v>
      </c>
      <c r="N13" s="9">
        <v>0</v>
      </c>
      <c r="O13" s="5">
        <v>0</v>
      </c>
      <c r="P13" s="24">
        <f>O13/8</f>
        <v>0</v>
      </c>
      <c r="Q13" s="9">
        <v>0</v>
      </c>
      <c r="R13" s="5">
        <v>0</v>
      </c>
      <c r="S13" s="24">
        <f>R13/8</f>
        <v>0</v>
      </c>
      <c r="T13" s="47"/>
    </row>
    <row r="14" spans="2:26" ht="16" x14ac:dyDescent="0.2">
      <c r="G14">
        <v>8</v>
      </c>
      <c r="H14" s="3" t="s">
        <v>26</v>
      </c>
      <c r="J14" s="3" t="s">
        <v>26</v>
      </c>
      <c r="K14" s="9">
        <v>0</v>
      </c>
      <c r="L14" s="5">
        <v>0</v>
      </c>
      <c r="M14" s="24">
        <f t="shared" si="3"/>
        <v>0</v>
      </c>
      <c r="N14" s="9">
        <v>0</v>
      </c>
      <c r="O14" s="5">
        <v>0</v>
      </c>
      <c r="P14" s="24">
        <v>0</v>
      </c>
      <c r="Q14" s="9">
        <v>0</v>
      </c>
      <c r="R14" s="5">
        <v>0</v>
      </c>
      <c r="S14" s="24">
        <v>0</v>
      </c>
      <c r="T14" s="47"/>
    </row>
    <row r="15" spans="2:26" ht="16" x14ac:dyDescent="0.2">
      <c r="J15" s="3" t="s">
        <v>126</v>
      </c>
      <c r="K15">
        <f>SUM(K3:K12)</f>
        <v>27</v>
      </c>
      <c r="L15">
        <f>SUM(L3:L12)</f>
        <v>14.5</v>
      </c>
      <c r="M15" s="27"/>
      <c r="N15">
        <f>SUM(N3:N12)</f>
        <v>72</v>
      </c>
      <c r="O15">
        <f>SUM(O3:O12)</f>
        <v>19</v>
      </c>
      <c r="Q15">
        <f>SUM(Q3:Q12)</f>
        <v>102</v>
      </c>
      <c r="R15">
        <f>SUM(R3:R12)</f>
        <v>30</v>
      </c>
    </row>
    <row r="16" spans="2:26" ht="16" x14ac:dyDescent="0.2">
      <c r="J16" s="3" t="s">
        <v>127</v>
      </c>
      <c r="K16" s="66">
        <f>(K15*L15)/8/20</f>
        <v>2.4468749999999999</v>
      </c>
      <c r="L16" s="66"/>
      <c r="M16" s="66"/>
      <c r="N16" s="66">
        <f>(N15*O15)/8/20</f>
        <v>8.5500000000000007</v>
      </c>
      <c r="O16" s="66"/>
      <c r="P16" s="66"/>
      <c r="Q16" s="66">
        <f>(Q15*R15)/8/20</f>
        <v>19.125</v>
      </c>
      <c r="R16" s="66"/>
      <c r="S16" s="66"/>
      <c r="T16" s="23"/>
    </row>
    <row r="21" spans="2:6" x14ac:dyDescent="0.2">
      <c r="B21" t="s">
        <v>128</v>
      </c>
      <c r="C21" t="s">
        <v>129</v>
      </c>
      <c r="E21" t="s">
        <v>130</v>
      </c>
      <c r="F21" t="s">
        <v>131</v>
      </c>
    </row>
    <row r="22" spans="2:6" x14ac:dyDescent="0.2">
      <c r="B22" t="s">
        <v>132</v>
      </c>
      <c r="C22" s="30">
        <v>2000000</v>
      </c>
      <c r="D22" s="30"/>
      <c r="E22" s="30">
        <f>C22/20</f>
        <v>100000</v>
      </c>
      <c r="F22" s="52">
        <f>E22/8</f>
        <v>12500</v>
      </c>
    </row>
    <row r="23" spans="2:6" x14ac:dyDescent="0.2">
      <c r="B23" t="s">
        <v>10</v>
      </c>
      <c r="C23" s="30">
        <v>2500000</v>
      </c>
      <c r="D23" s="30"/>
      <c r="E23" s="30">
        <f t="shared" ref="E23:E26" si="4">C23/20</f>
        <v>125000</v>
      </c>
      <c r="F23" s="52">
        <f t="shared" ref="F23:F26" si="5">E23/8</f>
        <v>15625</v>
      </c>
    </row>
    <row r="24" spans="2:6" x14ac:dyDescent="0.2">
      <c r="B24" t="s">
        <v>9</v>
      </c>
      <c r="C24" s="30">
        <v>1000000</v>
      </c>
      <c r="D24" s="30"/>
      <c r="E24" s="30">
        <f t="shared" si="4"/>
        <v>50000</v>
      </c>
      <c r="F24" s="52">
        <f t="shared" si="5"/>
        <v>6250</v>
      </c>
    </row>
    <row r="25" spans="2:6" x14ac:dyDescent="0.2">
      <c r="B25" t="s">
        <v>12</v>
      </c>
      <c r="C25" s="30">
        <v>2100000</v>
      </c>
      <c r="D25" s="30"/>
      <c r="E25" s="30">
        <f t="shared" si="4"/>
        <v>105000</v>
      </c>
      <c r="F25" s="52">
        <f t="shared" si="5"/>
        <v>13125</v>
      </c>
    </row>
    <row r="26" spans="2:6" x14ac:dyDescent="0.2">
      <c r="B26" t="s">
        <v>13</v>
      </c>
      <c r="C26" s="30">
        <v>1900000</v>
      </c>
      <c r="D26" s="30"/>
      <c r="E26" s="30">
        <f t="shared" si="4"/>
        <v>95000</v>
      </c>
      <c r="F26" s="52">
        <f t="shared" si="5"/>
        <v>11875</v>
      </c>
    </row>
    <row r="27" spans="2:6" x14ac:dyDescent="0.2">
      <c r="C27" s="30"/>
      <c r="D27" s="30"/>
      <c r="E27" s="30"/>
    </row>
    <row r="28" spans="2:6" x14ac:dyDescent="0.2">
      <c r="C28" s="30"/>
      <c r="D28" s="30"/>
      <c r="E28" s="30"/>
    </row>
    <row r="29" spans="2:6" x14ac:dyDescent="0.2">
      <c r="C29" s="30"/>
      <c r="D29" s="30"/>
      <c r="E29" s="30"/>
    </row>
    <row r="30" spans="2:6" x14ac:dyDescent="0.2">
      <c r="C30" s="30"/>
      <c r="D30" s="30"/>
      <c r="E30" s="30"/>
    </row>
    <row r="31" spans="2:6" x14ac:dyDescent="0.2">
      <c r="C31" s="30"/>
      <c r="D31" s="30"/>
      <c r="E31" s="30"/>
    </row>
    <row r="32" spans="2:6" x14ac:dyDescent="0.2">
      <c r="C32" s="30"/>
      <c r="D32" s="30"/>
      <c r="E32" s="30"/>
    </row>
    <row r="33" spans="3:5" x14ac:dyDescent="0.2">
      <c r="C33" s="30"/>
      <c r="D33" s="30"/>
      <c r="E33" s="30"/>
    </row>
    <row r="34" spans="3:5" x14ac:dyDescent="0.2">
      <c r="C34" s="30"/>
      <c r="D34" s="30"/>
      <c r="E34" s="30"/>
    </row>
    <row r="35" spans="3:5" x14ac:dyDescent="0.2">
      <c r="C35" s="30"/>
      <c r="D35" s="30"/>
      <c r="E35" s="30"/>
    </row>
    <row r="36" spans="3:5" x14ac:dyDescent="0.2">
      <c r="C36" s="30"/>
      <c r="D36" s="30"/>
      <c r="E36" s="30"/>
    </row>
  </sheetData>
  <mergeCells count="6">
    <mergeCell ref="K1:M1"/>
    <mergeCell ref="N1:P1"/>
    <mergeCell ref="Q1:S1"/>
    <mergeCell ref="N16:P16"/>
    <mergeCell ref="Q16:S16"/>
    <mergeCell ref="K16:M16"/>
  </mergeCells>
  <pageMargins left="0.7" right="0.7" top="0.75" bottom="0.75" header="0.3" footer="0.3"/>
  <pageSetup orientation="portrait" r:id="rId1"/>
  <ignoredErrors>
    <ignoredError sqref="K15:L15 N15:O15 Q15:R15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0D290A-68DD-4346-AB65-9E197B117B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WorkloadSummary</vt:lpstr>
      <vt:lpstr>ResourceAllocation</vt:lpstr>
      <vt:lpstr>ImportantDate</vt:lpstr>
      <vt:lpstr>Library</vt:lpstr>
      <vt:lpstr>HighPct</vt:lpstr>
      <vt:lpstr>LeaveData</vt:lpstr>
      <vt:lpstr>LibsPhase</vt:lpstr>
      <vt:lpstr>LibsTask</vt:lpstr>
      <vt:lpstr>LowPct</vt:lpstr>
      <vt:lpstr>MediumPct</vt:lpstr>
      <vt:lpstr>Resources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NUGROHO Triananto</dc:creator>
  <cp:keywords/>
  <dc:description/>
  <cp:lastModifiedBy>Yosy Aliffakry</cp:lastModifiedBy>
  <cp:revision/>
  <dcterms:created xsi:type="dcterms:W3CDTF">2025-02-03T10:28:42Z</dcterms:created>
  <dcterms:modified xsi:type="dcterms:W3CDTF">2026-01-07T14:16:21Z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8a86cd-93f1-4e8d-8289-cf588122df89_Enabled">
    <vt:lpwstr>true</vt:lpwstr>
  </property>
  <property fmtid="{D5CDD505-2E9C-101B-9397-08002B2CF9AE}" pid="3" name="MSIP_Label_868a86cd-93f1-4e8d-8289-cf588122df89_SetDate">
    <vt:lpwstr>2025-02-04T02:42:36Z</vt:lpwstr>
  </property>
  <property fmtid="{D5CDD505-2E9C-101B-9397-08002B2CF9AE}" pid="4" name="MSIP_Label_868a86cd-93f1-4e8d-8289-cf588122df89_Method">
    <vt:lpwstr>Standard</vt:lpwstr>
  </property>
  <property fmtid="{D5CDD505-2E9C-101B-9397-08002B2CF9AE}" pid="5" name="MSIP_Label_868a86cd-93f1-4e8d-8289-cf588122df89_Name">
    <vt:lpwstr>ID_Internal</vt:lpwstr>
  </property>
  <property fmtid="{D5CDD505-2E9C-101B-9397-08002B2CF9AE}" pid="6" name="MSIP_Label_868a86cd-93f1-4e8d-8289-cf588122df89_SiteId">
    <vt:lpwstr>396b38cc-aa65-492b-bb0e-3d94ed25a97b</vt:lpwstr>
  </property>
  <property fmtid="{D5CDD505-2E9C-101B-9397-08002B2CF9AE}" pid="7" name="MSIP_Label_868a86cd-93f1-4e8d-8289-cf588122df89_ActionId">
    <vt:lpwstr>3c3b9e88-6699-4ba9-a44e-142fc84f3df5</vt:lpwstr>
  </property>
  <property fmtid="{D5CDD505-2E9C-101B-9397-08002B2CF9AE}" pid="8" name="MSIP_Label_868a86cd-93f1-4e8d-8289-cf588122df89_ContentBits">
    <vt:lpwstr>2</vt:lpwstr>
  </property>
</Properties>
</file>